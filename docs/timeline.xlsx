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22 KINYARK" sheetId="1" r:id="rId5"/>
  </sheets>
  <definedNames/>
  <calcPr/>
</workbook>
</file>

<file path=xl/sharedStrings.xml><?xml version="1.0" encoding="utf-8"?>
<sst xmlns="http://schemas.openxmlformats.org/spreadsheetml/2006/main" count="915" uniqueCount="213">
  <si>
    <t>Initial Estimate</t>
  </si>
  <si>
    <t>Team22</t>
  </si>
  <si>
    <t>ToDo</t>
  </si>
  <si>
    <t>[20]</t>
  </si>
  <si>
    <t>TeamName</t>
  </si>
  <si>
    <t>KINYARK</t>
  </si>
  <si>
    <t>Meeting Appointment Plan</t>
  </si>
  <si>
    <t>InProgress</t>
  </si>
  <si>
    <t>[10-18]</t>
  </si>
  <si>
    <t>Meeting 01</t>
  </si>
  <si>
    <t>Meeting 02</t>
  </si>
  <si>
    <t>Meeting 03</t>
  </si>
  <si>
    <t>Meeting 04</t>
  </si>
  <si>
    <t>Meeting 05</t>
  </si>
  <si>
    <t>Meeting 06</t>
  </si>
  <si>
    <t>Meeting 07</t>
  </si>
  <si>
    <t>Meeting 08</t>
  </si>
  <si>
    <t>Meeting 09</t>
  </si>
  <si>
    <t>Meeting 10</t>
  </si>
  <si>
    <t>Meeting 11</t>
  </si>
  <si>
    <t>Meeting 12</t>
  </si>
  <si>
    <t>Meeting 13</t>
  </si>
  <si>
    <t>Meeting 14</t>
  </si>
  <si>
    <t>Meeting 15</t>
  </si>
  <si>
    <t>Meeting 16</t>
  </si>
  <si>
    <t>Meeting 17</t>
  </si>
  <si>
    <t>Meeting 18</t>
  </si>
  <si>
    <t>Meeting 19</t>
  </si>
  <si>
    <t>Meeting 20</t>
  </si>
  <si>
    <t>Testing</t>
  </si>
  <si>
    <t>[4-10]</t>
  </si>
  <si>
    <t>Done</t>
  </si>
  <si>
    <t>[2-4]</t>
  </si>
  <si>
    <t>Iteration 0</t>
  </si>
  <si>
    <t>Iteration 01</t>
  </si>
  <si>
    <t>Iteration 02</t>
  </si>
  <si>
    <t>Iteration 03</t>
  </si>
  <si>
    <t>STATUS</t>
  </si>
  <si>
    <t xml:space="preserve">Meet </t>
  </si>
  <si>
    <t>notMeet</t>
  </si>
  <si>
    <t>Complete</t>
  </si>
  <si>
    <t>StudentID</t>
  </si>
  <si>
    <t>Name</t>
  </si>
  <si>
    <t>Role</t>
  </si>
  <si>
    <t>Progress Docs</t>
  </si>
  <si>
    <t xml:space="preserve">Reject </t>
  </si>
  <si>
    <t>-</t>
  </si>
  <si>
    <t>พีรพัฒน์ แสวงรัมย์</t>
  </si>
  <si>
    <t>PM/Scrummaster</t>
  </si>
  <si>
    <t>FrontEnd</t>
  </si>
  <si>
    <t>QA/Tester</t>
  </si>
  <si>
    <t>Move</t>
  </si>
  <si>
    <t>Current Score</t>
  </si>
  <si>
    <t>การัญภาส กันทะเนตร</t>
  </si>
  <si>
    <t>อรชพร กลิ่นชื่น</t>
  </si>
  <si>
    <t>BackEnd</t>
  </si>
  <si>
    <t>QA/Tester, PM/Scrummaster, Devops</t>
  </si>
  <si>
    <t>ITERATION 0</t>
  </si>
  <si>
    <t>Scrum Master</t>
  </si>
  <si>
    <t>AUGUST</t>
  </si>
  <si>
    <t>ITERATION 1</t>
  </si>
  <si>
    <t>ITERATION 2</t>
  </si>
  <si>
    <t>ITERATION 3</t>
  </si>
  <si>
    <t>BACKLogs</t>
  </si>
  <si>
    <t>Settting</t>
  </si>
  <si>
    <t>Start</t>
  </si>
  <si>
    <t>I_0</t>
  </si>
  <si>
    <t>I_1</t>
  </si>
  <si>
    <t>I_2</t>
  </si>
  <si>
    <t>I_3</t>
  </si>
  <si>
    <t>Week 1</t>
  </si>
  <si>
    <t>Planned Score</t>
  </si>
  <si>
    <t>Task</t>
  </si>
  <si>
    <t>User Story</t>
  </si>
  <si>
    <t>ID</t>
  </si>
  <si>
    <t>Feature</t>
  </si>
  <si>
    <t>Assigned</t>
  </si>
  <si>
    <t>DueDate</t>
  </si>
  <si>
    <t>Remaining</t>
  </si>
  <si>
    <t>Day 1</t>
  </si>
  <si>
    <t>Day 2</t>
  </si>
  <si>
    <t>Day 3</t>
  </si>
  <si>
    <t>Day 4</t>
  </si>
  <si>
    <t>Day 5</t>
  </si>
  <si>
    <t>ISSUE</t>
  </si>
  <si>
    <t>Actual Score</t>
  </si>
  <si>
    <t>Make All Pages Responsive</t>
  </si>
  <si>
    <t>W1-1</t>
  </si>
  <si>
    <t>Review UI Consistency</t>
  </si>
  <si>
    <t>Create Recipe</t>
  </si>
  <si>
    <t>ToDO</t>
  </si>
  <si>
    <t>Manage Recipe Video</t>
  </si>
  <si>
    <t>Remaining Effort</t>
  </si>
  <si>
    <t>W1-2</t>
  </si>
  <si>
    <t>Global Authentication State</t>
  </si>
  <si>
    <t>Get Recipe</t>
  </si>
  <si>
    <t>Fetch dynamic recipe feed &amp; Pagination</t>
  </si>
  <si>
    <t>Ideal Burndown</t>
  </si>
  <si>
    <t>Review UI Text</t>
  </si>
  <si>
    <t>W1-3</t>
  </si>
  <si>
    <t>Build Multi-step form state management</t>
  </si>
  <si>
    <t>Generate Weekly Recommendation</t>
  </si>
  <si>
    <t>Update Database Schema</t>
  </si>
  <si>
    <t>W1-4</t>
  </si>
  <si>
    <t>Register User</t>
  </si>
  <si>
    <t>Retrieve User Context</t>
  </si>
  <si>
    <t>Add &amp; Remove Favorite</t>
  </si>
  <si>
    <t>19/08/26</t>
  </si>
  <si>
    <t>Login Integration</t>
  </si>
  <si>
    <t>W1-5</t>
  </si>
  <si>
    <t xml:space="preserve">Integration Test </t>
  </si>
  <si>
    <t>Update Recipe</t>
  </si>
  <si>
    <t>Cache Weekly Result</t>
  </si>
  <si>
    <t>20/08/26</t>
  </si>
  <si>
    <t>Register Integration</t>
  </si>
  <si>
    <t>W1-6</t>
  </si>
  <si>
    <t>Implement Image Upload &amp; Preview</t>
  </si>
  <si>
    <t>Get Favorite Recipes</t>
  </si>
  <si>
    <t>21/08/26</t>
  </si>
  <si>
    <t>W1-7</t>
  </si>
  <si>
    <t>Delete Recipe</t>
  </si>
  <si>
    <t>Fetch dynamic recipe data</t>
  </si>
  <si>
    <t>W1-8</t>
  </si>
  <si>
    <t>Login User</t>
  </si>
  <si>
    <t>Build Recommendation Prompt</t>
  </si>
  <si>
    <t>W1-9</t>
  </si>
  <si>
    <t>Manage Recipe Ingredients</t>
  </si>
  <si>
    <t>Logout User</t>
  </si>
  <si>
    <t>W1-10</t>
  </si>
  <si>
    <t>Connect Create Recipe API Connect Create Recipe API</t>
  </si>
  <si>
    <t>Get Profile</t>
  </si>
  <si>
    <t>Update Profile</t>
  </si>
  <si>
    <t>Current 
Hours</t>
  </si>
  <si>
    <t>Change Password</t>
  </si>
  <si>
    <t>Upload Profile Image</t>
  </si>
  <si>
    <t>Week 2</t>
  </si>
  <si>
    <t>Delete Account</t>
  </si>
  <si>
    <t>W2-1</t>
  </si>
  <si>
    <t>Validate Recipe Data</t>
  </si>
  <si>
    <t>Connect Favorite toggle API Connect Favorite toggle API</t>
  </si>
  <si>
    <t>24/08/26</t>
  </si>
  <si>
    <t>W2-2</t>
  </si>
  <si>
    <t>Design AI Service</t>
  </si>
  <si>
    <t>Implement Recommendation Service</t>
  </si>
  <si>
    <t>Create Review &amp; Rating</t>
  </si>
  <si>
    <t>25/08/26</t>
  </si>
  <si>
    <t>Bind Search input state &amp; Implement Debounce</t>
  </si>
  <si>
    <t>W2-3</t>
  </si>
  <si>
    <t>Fetch and render user's recipes Fetch and render user's recipes</t>
  </si>
  <si>
    <t>Integration Test (AI Backend)</t>
  </si>
  <si>
    <t>Connect AI Search &amp; Filter API</t>
  </si>
  <si>
    <t>W2-4</t>
  </si>
  <si>
    <t>Upload Recipe Image</t>
  </si>
  <si>
    <t>Update &amp; Delete Review</t>
  </si>
  <si>
    <t>26/08/26</t>
  </si>
  <si>
    <t>Handle Empty Search &amp; Loading states</t>
  </si>
  <si>
    <t>W2-5</t>
  </si>
  <si>
    <t>Connect Delete/Edit action triggers</t>
  </si>
  <si>
    <t>W2-6</t>
  </si>
  <si>
    <t>Build Prompt Generator</t>
  </si>
  <si>
    <t>Optimize Context Payload</t>
  </si>
  <si>
    <t>Connect Fetch comments API</t>
  </si>
  <si>
    <t>27/08/26</t>
  </si>
  <si>
    <t>W2-7</t>
  </si>
  <si>
    <t>Calculate Recipe Rating</t>
  </si>
  <si>
    <t>28/08/26</t>
  </si>
  <si>
    <t>Integrate API</t>
  </si>
  <si>
    <t>W2-8</t>
  </si>
  <si>
    <t>Integration Testing Recipe Management</t>
  </si>
  <si>
    <t>Implement AI Recipe Service</t>
  </si>
  <si>
    <t>W2-9</t>
  </si>
  <si>
    <t>Save Search History</t>
  </si>
  <si>
    <t>31/08/26</t>
  </si>
  <si>
    <t>Validate AI Response</t>
  </si>
  <si>
    <t>W2-10</t>
  </si>
  <si>
    <t>Get &amp; Delete Search History</t>
  </si>
  <si>
    <t>W2-11</t>
  </si>
  <si>
    <t>Bind Post input fields &amp; Submit API</t>
  </si>
  <si>
    <t>W2-12</t>
  </si>
  <si>
    <t>Integration Testing Recipe Engagement</t>
  </si>
  <si>
    <t>Week 3</t>
  </si>
  <si>
    <t>W3-1</t>
  </si>
  <si>
    <t>W3-2</t>
  </si>
  <si>
    <t>W3-3</t>
  </si>
  <si>
    <t>W3-4</t>
  </si>
  <si>
    <t>W3-5</t>
  </si>
  <si>
    <t>W3-6</t>
  </si>
  <si>
    <t>Total</t>
  </si>
  <si>
    <t>W3-7</t>
  </si>
  <si>
    <t>Reject</t>
  </si>
  <si>
    <t>W3-8</t>
  </si>
  <si>
    <t>W3-9</t>
  </si>
  <si>
    <t>W3-10</t>
  </si>
  <si>
    <t>Week 4</t>
  </si>
  <si>
    <t>W4-1</t>
  </si>
  <si>
    <t>W4-2</t>
  </si>
  <si>
    <t>Fetch and render Favorites page Fetch and render Favorites page</t>
  </si>
  <si>
    <t>W4-3</t>
  </si>
  <si>
    <t>W4-4</t>
  </si>
  <si>
    <t>W4-5</t>
  </si>
  <si>
    <t>W4-6</t>
  </si>
  <si>
    <t>W4-7</t>
  </si>
  <si>
    <t>W4-8</t>
  </si>
  <si>
    <t>W4-9</t>
  </si>
  <si>
    <t>W4-10</t>
  </si>
  <si>
    <t xml:space="preserve">Perform End-to-End (E2E) Functional Testing
</t>
  </si>
  <si>
    <t>Setting</t>
  </si>
  <si>
    <t xml:space="preserve">Cross-Browser &amp; Responsive UI Testing
</t>
  </si>
  <si>
    <t xml:space="preserve">Performance &amp; Error Handling Validation
</t>
  </si>
  <si>
    <t xml:space="preserve">Final Bug Fixing &amp; Code Refactoring
</t>
  </si>
  <si>
    <t xml:space="preserve">Production Deployment &amp; CI/CD Setup
</t>
  </si>
  <si>
    <t xml:space="preserve">Post-Deployment Smoke Testing
</t>
  </si>
  <si>
    <t>Iteration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</si>
</sst>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"/>
    <numFmt numFmtId="165" formatCode="m/d/yyyy"/>
    <numFmt numFmtId="166" formatCode="mm/dd/yyyy"/>
    <numFmt numFmtId="167" formatCode="mm/dd/yy"/>
  </numFmts>
  <fonts count="17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</font>
    <font>
      <sz val="19.0"/>
      <color theme="1"/>
      <name val="Arial"/>
    </font>
    <font/>
    <font>
      <b/>
      <sz val="12.0"/>
      <color theme="1"/>
      <name val="Calibri"/>
    </font>
    <font>
      <b/>
      <sz val="12.0"/>
      <color theme="1"/>
      <name val="Arial"/>
    </font>
    <font>
      <b/>
      <sz val="17.0"/>
      <color theme="1"/>
      <name val="Arial"/>
    </font>
    <font>
      <b/>
      <sz val="13.0"/>
      <color theme="1"/>
      <name val="Arial"/>
    </font>
    <font>
      <sz val="11.0"/>
      <color theme="1"/>
      <name val="Calibri"/>
    </font>
    <font>
      <b/>
      <sz val="24.0"/>
      <color theme="1"/>
      <name val="Calibri"/>
    </font>
    <font>
      <b/>
      <sz val="16.0"/>
      <color theme="1"/>
      <name val="Calibri"/>
    </font>
    <font>
      <b/>
      <sz val="11.0"/>
      <color theme="1"/>
      <name val="Calibri"/>
    </font>
    <font>
      <sz val="18.0"/>
      <color theme="1"/>
      <name val="Calibri"/>
    </font>
    <font>
      <b/>
      <sz val="13.0"/>
      <color theme="1"/>
      <name val="Calibri"/>
    </font>
    <font>
      <sz val="22.0"/>
      <color theme="1"/>
      <name val="Calibri"/>
    </font>
    <font>
      <b/>
      <sz val="17.0"/>
      <color theme="1"/>
      <name val="Calibri"/>
    </font>
  </fonts>
  <fills count="3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46BDC6"/>
        <bgColor rgb="FF46BDC6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7D31"/>
        <bgColor rgb="FFED7D31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434343"/>
        <bgColor rgb="FF434343"/>
      </patternFill>
    </fill>
    <fill>
      <patternFill patternType="solid">
        <fgColor rgb="FFF7CAAC"/>
        <bgColor rgb="FFF7CAAC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1F1F1F"/>
        <bgColor rgb="FF1F1F1F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C0000"/>
        <bgColor rgb="FFCC0000"/>
      </patternFill>
    </fill>
  </fills>
  <borders count="27">
    <border/>
    <border>
      <left/>
      <right/>
      <top style="thin">
        <color rgb="FF8EAADB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8EAADB"/>
      </top>
      <bottom style="thin">
        <color rgb="FF8EAADB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8EAADB"/>
      </top>
    </border>
    <border>
      <left/>
      <top/>
    </border>
    <border>
      <top/>
    </border>
    <border>
      <left/>
      <top/>
      <bottom/>
    </border>
    <border>
      <right/>
      <top/>
      <bottom/>
    </border>
    <border>
      <left/>
      <bottom/>
    </border>
    <border>
      <bottom/>
    </border>
    <border>
      <left style="thin">
        <color rgb="FF8EAADB"/>
      </left>
      <right/>
      <top style="thin">
        <color rgb="FF8EAADB"/>
      </top>
      <bottom/>
    </border>
    <border>
      <left/>
      <top/>
      <bottom style="thin">
        <color rgb="FF8EAADB"/>
      </bottom>
    </border>
    <border>
      <top/>
      <bottom style="thin">
        <color rgb="FF8EAADB"/>
      </bottom>
    </border>
    <border>
      <right/>
      <top/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right style="thin">
        <color rgb="FF8EAADB"/>
      </right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left/>
      <right/>
      <top/>
      <bottom/>
    </border>
    <border>
      <top/>
      <bottom/>
    </border>
    <border>
      <left style="thin">
        <color rgb="FF8EAADB"/>
      </left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0" fontId="3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bottom"/>
    </xf>
    <xf borderId="5" fillId="2" fontId="5" numFmtId="0" xfId="0" applyAlignment="1" applyBorder="1" applyFill="1" applyFont="1">
      <alignment vertical="bottom"/>
    </xf>
    <xf borderId="0" fillId="0" fontId="6" numFmtId="0" xfId="0" applyAlignment="1" applyFont="1">
      <alignment horizontal="center"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2" numFmtId="0" xfId="0" applyAlignment="1" applyBorder="1" applyFont="1">
      <alignment vertical="bottom"/>
    </xf>
    <xf borderId="0" fillId="3" fontId="2" numFmtId="0" xfId="0" applyAlignment="1" applyFill="1" applyFont="1">
      <alignment horizontal="center" vertical="bottom"/>
    </xf>
    <xf borderId="0" fillId="4" fontId="5" numFmtId="0" xfId="0" applyAlignment="1" applyFill="1" applyFont="1">
      <alignment vertical="bottom"/>
    </xf>
    <xf borderId="8" fillId="5" fontId="2" numFmtId="0" xfId="0" applyAlignment="1" applyBorder="1" applyFill="1" applyFont="1">
      <alignment vertical="bottom"/>
    </xf>
    <xf borderId="0" fillId="6" fontId="2" numFmtId="0" xfId="0" applyAlignment="1" applyFill="1" applyFont="1">
      <alignment vertical="bottom"/>
    </xf>
    <xf borderId="0" fillId="7" fontId="6" numFmtId="0" xfId="0" applyAlignment="1" applyFill="1" applyFont="1">
      <alignment vertical="bottom"/>
    </xf>
    <xf borderId="6" fillId="0" fontId="2" numFmtId="164" xfId="0" applyAlignment="1" applyBorder="1" applyFont="1" applyNumberFormat="1">
      <alignment vertical="bottom"/>
    </xf>
    <xf borderId="8" fillId="8" fontId="7" numFmtId="164" xfId="0" applyAlignment="1" applyBorder="1" applyFill="1" applyFont="1" applyNumberFormat="1">
      <alignment horizontal="center" vertical="bottom"/>
    </xf>
    <xf borderId="8" fillId="0" fontId="4" numFmtId="0" xfId="0" applyBorder="1" applyFont="1"/>
    <xf borderId="8" fillId="9" fontId="7" numFmtId="164" xfId="0" applyAlignment="1" applyBorder="1" applyFill="1" applyFont="1" applyNumberFormat="1">
      <alignment horizontal="center" vertical="bottom"/>
    </xf>
    <xf borderId="8" fillId="7" fontId="7" numFmtId="164" xfId="0" applyAlignment="1" applyBorder="1" applyFont="1" applyNumberFormat="1">
      <alignment horizontal="center" vertical="bottom"/>
    </xf>
    <xf borderId="9" fillId="0" fontId="2" numFmtId="165" xfId="0" applyAlignment="1" applyBorder="1" applyFont="1" applyNumberFormat="1">
      <alignment vertical="bottom"/>
    </xf>
    <xf borderId="0" fillId="10" fontId="6" numFmtId="164" xfId="0" applyAlignment="1" applyFill="1" applyFont="1" applyNumberFormat="1">
      <alignment vertical="bottom"/>
    </xf>
    <xf borderId="0" fillId="0" fontId="6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vertical="bottom"/>
    </xf>
    <xf borderId="8" fillId="11" fontId="8" numFmtId="0" xfId="0" applyAlignment="1" applyBorder="1" applyFill="1" applyFont="1">
      <alignment horizontal="center" vertical="bottom"/>
    </xf>
    <xf borderId="8" fillId="7" fontId="8" numFmtId="0" xfId="0" applyAlignment="1" applyBorder="1" applyFont="1">
      <alignment horizontal="center" vertical="bottom"/>
    </xf>
    <xf borderId="8" fillId="12" fontId="8" numFmtId="0" xfId="0" applyAlignment="1" applyBorder="1" applyFill="1" applyFont="1">
      <alignment horizontal="center" vertical="bottom"/>
    </xf>
    <xf borderId="8" fillId="4" fontId="8" numFmtId="0" xfId="0" applyAlignment="1" applyBorder="1" applyFont="1">
      <alignment horizontal="center" vertical="bottom"/>
    </xf>
    <xf borderId="9" fillId="0" fontId="9" numFmtId="0" xfId="0" applyAlignment="1" applyBorder="1" applyFont="1">
      <alignment readingOrder="0" vertical="bottom"/>
    </xf>
    <xf borderId="9" fillId="0" fontId="9" numFmtId="0" xfId="0" applyAlignment="1" applyBorder="1" applyFont="1">
      <alignment vertical="bottom"/>
    </xf>
    <xf borderId="0" fillId="13" fontId="6" numFmtId="0" xfId="0" applyAlignment="1" applyFill="1" applyFont="1">
      <alignment vertical="bottom"/>
    </xf>
    <xf borderId="0" fillId="14" fontId="2" numFmtId="0" xfId="0" applyAlignment="1" applyFill="1" applyFont="1">
      <alignment vertical="bottom"/>
    </xf>
    <xf borderId="0" fillId="15" fontId="6" numFmtId="0" xfId="0" applyAlignment="1" applyFill="1" applyFont="1">
      <alignment vertical="bottom"/>
    </xf>
    <xf borderId="7" fillId="0" fontId="2" numFmtId="0" xfId="0" applyAlignment="1" applyBorder="1" applyFont="1">
      <alignment horizontal="right" vertical="bottom"/>
    </xf>
    <xf borderId="0" fillId="16" fontId="6" numFmtId="0" xfId="0" applyAlignment="1" applyFill="1" applyFont="1">
      <alignment vertical="bottom"/>
    </xf>
    <xf borderId="6" fillId="0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17" fontId="2" numFmtId="0" xfId="0" applyAlignment="1" applyFill="1" applyFont="1">
      <alignment vertical="bottom"/>
    </xf>
    <xf borderId="10" fillId="18" fontId="10" numFmtId="0" xfId="0" applyAlignment="1" applyBorder="1" applyFill="1" applyFont="1">
      <alignment horizontal="center" vertical="bottom"/>
    </xf>
    <xf borderId="11" fillId="0" fontId="4" numFmtId="0" xfId="0" applyBorder="1" applyFont="1"/>
    <xf borderId="12" fillId="19" fontId="11" numFmtId="0" xfId="0" applyAlignment="1" applyBorder="1" applyFill="1" applyFont="1">
      <alignment horizontal="center" vertical="bottom"/>
    </xf>
    <xf borderId="13" fillId="0" fontId="4" numFmtId="0" xfId="0" applyBorder="1" applyFont="1"/>
    <xf borderId="0" fillId="20" fontId="1" numFmtId="0" xfId="0" applyAlignment="1" applyFill="1" applyFont="1">
      <alignment vertical="bottom"/>
    </xf>
    <xf borderId="10" fillId="18" fontId="10" numFmtId="0" xfId="0" applyAlignment="1" applyBorder="1" applyFont="1">
      <alignment horizontal="center" vertical="bottom"/>
    </xf>
    <xf borderId="0" fillId="20" fontId="2" numFmtId="0" xfId="0" applyAlignment="1" applyFont="1">
      <alignment vertical="bottom"/>
    </xf>
    <xf borderId="0" fillId="21" fontId="2" numFmtId="0" xfId="0" applyAlignment="1" applyFill="1" applyFont="1">
      <alignment vertical="bottom"/>
    </xf>
    <xf borderId="0" fillId="22" fontId="2" numFmtId="0" xfId="0" applyAlignment="1" applyFill="1" applyFont="1">
      <alignment vertical="bottom"/>
    </xf>
    <xf borderId="0" fillId="11" fontId="10" numFmtId="0" xfId="0" applyAlignment="1" applyFont="1">
      <alignment horizontal="center" vertical="bottom"/>
    </xf>
    <xf borderId="14" fillId="0" fontId="4" numFmtId="0" xfId="0" applyBorder="1" applyFont="1"/>
    <xf borderId="15" fillId="0" fontId="4" numFmtId="0" xfId="0" applyBorder="1" applyFont="1"/>
    <xf borderId="12" fillId="16" fontId="5" numFmtId="0" xfId="0" applyAlignment="1" applyBorder="1" applyFont="1">
      <alignment horizontal="center" vertical="bottom"/>
    </xf>
    <xf borderId="16" fillId="2" fontId="1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17" fillId="23" fontId="12" numFmtId="0" xfId="0" applyAlignment="1" applyBorder="1" applyFill="1" applyFont="1">
      <alignment horizontal="center" vertical="bottom"/>
    </xf>
    <xf borderId="18" fillId="0" fontId="4" numFmtId="0" xfId="0" applyBorder="1" applyFont="1"/>
    <xf borderId="19" fillId="0" fontId="4" numFmtId="0" xfId="0" applyBorder="1" applyFont="1"/>
    <xf borderId="16" fillId="24" fontId="9" numFmtId="0" xfId="0" applyAlignment="1" applyBorder="1" applyFill="1" applyFont="1">
      <alignment vertical="bottom"/>
    </xf>
    <xf borderId="1" fillId="24" fontId="2" numFmtId="0" xfId="0" applyAlignment="1" applyBorder="1" applyFont="1">
      <alignment vertical="bottom"/>
    </xf>
    <xf borderId="1" fillId="24" fontId="9" numFmtId="0" xfId="0" applyAlignment="1" applyBorder="1" applyFont="1">
      <alignment horizontal="right" vertical="bottom"/>
    </xf>
    <xf borderId="0" fillId="11" fontId="12" numFmtId="0" xfId="0" applyAlignment="1" applyFont="1">
      <alignment horizontal="center" vertical="bottom"/>
    </xf>
    <xf borderId="16" fillId="25" fontId="1" numFmtId="0" xfId="0" applyAlignment="1" applyBorder="1" applyFill="1" applyFont="1">
      <alignment vertical="bottom"/>
    </xf>
    <xf borderId="16" fillId="25" fontId="1" numFmtId="0" xfId="0" applyAlignment="1" applyBorder="1" applyFont="1">
      <alignment vertical="bottom"/>
    </xf>
    <xf borderId="1" fillId="25" fontId="1" numFmtId="0" xfId="0" applyAlignment="1" applyBorder="1" applyFont="1">
      <alignment vertical="bottom"/>
    </xf>
    <xf borderId="20" fillId="0" fontId="9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9" fillId="17" fontId="2" numFmtId="0" xfId="0" applyAlignment="1" applyBorder="1" applyFont="1">
      <alignment vertical="bottom"/>
    </xf>
    <xf borderId="9" fillId="17" fontId="9" numFmtId="0" xfId="0" applyAlignment="1" applyBorder="1" applyFont="1">
      <alignment horizontal="right" vertical="bottom"/>
    </xf>
    <xf borderId="9" fillId="0" fontId="9" numFmtId="0" xfId="0" applyAlignment="1" applyBorder="1" applyFont="1">
      <alignment horizontal="right" vertical="bottom"/>
    </xf>
    <xf borderId="0" fillId="13" fontId="2" numFmtId="0" xfId="0" applyAlignment="1" applyFont="1">
      <alignment vertical="bottom"/>
    </xf>
    <xf borderId="0" fillId="11" fontId="2" numFmtId="0" xfId="0" applyAlignment="1" applyFont="1">
      <alignment horizontal="right" vertical="bottom"/>
    </xf>
    <xf borderId="21" fillId="0" fontId="4" numFmtId="0" xfId="0" applyBorder="1" applyFont="1"/>
    <xf borderId="20" fillId="0" fontId="9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9" numFmtId="166" xfId="0" applyAlignment="1" applyFont="1" applyNumberFormat="1">
      <alignment horizontal="center" readingOrder="0" vertical="bottom"/>
    </xf>
    <xf borderId="9" fillId="10" fontId="9" numFmtId="0" xfId="0" applyAlignment="1" applyBorder="1" applyFont="1">
      <alignment horizontal="center" vertical="bottom"/>
    </xf>
    <xf borderId="9" fillId="13" fontId="9" numFmtId="0" xfId="0" applyAlignment="1" applyBorder="1" applyFont="1">
      <alignment horizontal="right" vertical="bottom"/>
    </xf>
    <xf borderId="9" fillId="0" fontId="9" numFmtId="0" xfId="0" applyAlignment="1" applyBorder="1" applyFont="1">
      <alignment horizontal="right" readingOrder="0" vertical="bottom"/>
    </xf>
    <xf borderId="0" fillId="0" fontId="9" numFmtId="167" xfId="0" applyAlignment="1" applyFont="1" applyNumberFormat="1">
      <alignment horizontal="center" readingOrder="0" vertical="bottom"/>
    </xf>
    <xf borderId="9" fillId="10" fontId="9" numFmtId="0" xfId="0" applyAlignment="1" applyBorder="1" applyFont="1">
      <alignment horizontal="center" vertical="bottom"/>
    </xf>
    <xf borderId="9" fillId="0" fontId="9" numFmtId="0" xfId="0" applyAlignment="1" applyBorder="1" applyFont="1">
      <alignment horizontal="right" vertical="bottom"/>
    </xf>
    <xf borderId="9" fillId="0" fontId="9" numFmtId="165" xfId="0" applyAlignment="1" applyBorder="1" applyFont="1" applyNumberFormat="1">
      <alignment horizontal="center" vertical="bottom"/>
    </xf>
    <xf borderId="9" fillId="0" fontId="9" numFmtId="0" xfId="0" applyAlignment="1" applyBorder="1" applyFont="1">
      <alignment vertical="bottom"/>
    </xf>
    <xf borderId="9" fillId="0" fontId="9" numFmtId="165" xfId="0" applyAlignment="1" applyBorder="1" applyFont="1" applyNumberFormat="1">
      <alignment horizontal="right" vertical="bottom"/>
    </xf>
    <xf borderId="16" fillId="24" fontId="9" numFmtId="0" xfId="0" applyAlignment="1" applyBorder="1" applyFont="1">
      <alignment vertical="bottom"/>
    </xf>
    <xf borderId="22" fillId="0" fontId="9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17" fontId="9" numFmtId="0" xfId="0" applyAlignment="1" applyBorder="1" applyFont="1">
      <alignment horizontal="right" vertical="bottom"/>
    </xf>
    <xf borderId="5" fillId="0" fontId="9" numFmtId="0" xfId="0" applyAlignment="1" applyBorder="1" applyFont="1">
      <alignment horizontal="right" vertical="bottom"/>
    </xf>
    <xf borderId="0" fillId="26" fontId="2" numFmtId="0" xfId="0" applyAlignment="1" applyFill="1" applyFont="1">
      <alignment vertical="bottom"/>
    </xf>
    <xf borderId="0" fillId="0" fontId="9" numFmtId="165" xfId="0" applyAlignment="1" applyFont="1" applyNumberFormat="1">
      <alignment horizontal="center" vertical="bottom"/>
    </xf>
    <xf borderId="20" fillId="0" fontId="9" numFmtId="0" xfId="0" applyAlignment="1" applyBorder="1" applyFont="1">
      <alignment readingOrder="0" vertical="bottom"/>
    </xf>
    <xf borderId="9" fillId="10" fontId="2" numFmtId="0" xfId="0" applyAlignment="1" applyBorder="1" applyFont="1">
      <alignment horizontal="center" readingOrder="0" vertical="bottom"/>
    </xf>
    <xf borderId="9" fillId="13" fontId="2" numFmtId="0" xfId="0" applyAlignment="1" applyBorder="1" applyFont="1">
      <alignment vertical="bottom"/>
    </xf>
    <xf borderId="20" fillId="0" fontId="2" numFmtId="0" xfId="0" applyAlignment="1" applyBorder="1" applyFont="1">
      <alignment vertical="bottom"/>
    </xf>
    <xf borderId="9" fillId="10" fontId="2" numFmtId="0" xfId="0" applyAlignment="1" applyBorder="1" applyFont="1">
      <alignment vertical="bottom"/>
    </xf>
    <xf borderId="9" fillId="10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23" fillId="27" fontId="13" numFmtId="0" xfId="0" applyAlignment="1" applyBorder="1" applyFill="1" applyFont="1">
      <alignment horizontal="right" vertical="bottom"/>
    </xf>
    <xf borderId="0" fillId="10" fontId="9" numFmtId="0" xfId="0" applyAlignment="1" applyFont="1">
      <alignment horizontal="right" vertical="bottom"/>
    </xf>
    <xf borderId="0" fillId="11" fontId="2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18" fontId="15" numFmtId="0" xfId="0" applyAlignment="1" applyFont="1">
      <alignment horizontal="center" vertical="bottom"/>
    </xf>
    <xf borderId="12" fillId="23" fontId="12" numFmtId="0" xfId="0" applyAlignment="1" applyBorder="1" applyFont="1">
      <alignment horizontal="center" vertical="bottom"/>
    </xf>
    <xf borderId="24" fillId="0" fontId="4" numFmtId="0" xfId="0" applyBorder="1" applyFont="1"/>
    <xf borderId="25" fillId="25" fontId="1" numFmtId="0" xfId="0" applyAlignment="1" applyBorder="1" applyFont="1">
      <alignment vertical="bottom"/>
    </xf>
    <xf borderId="25" fillId="25" fontId="1" numFmtId="0" xfId="0" applyAlignment="1" applyBorder="1" applyFont="1">
      <alignment vertical="bottom"/>
    </xf>
    <xf borderId="26" fillId="25" fontId="1" numFmtId="0" xfId="0" applyAlignment="1" applyBorder="1" applyFont="1">
      <alignment vertical="bottom"/>
    </xf>
    <xf borderId="0" fillId="28" fontId="2" numFmtId="0" xfId="0" applyAlignment="1" applyFill="1" applyFont="1">
      <alignment vertical="bottom"/>
    </xf>
    <xf borderId="9" fillId="0" fontId="2" numFmtId="0" xfId="0" applyAlignment="1" applyBorder="1" applyFont="1">
      <alignment readingOrder="0" vertical="bottom"/>
    </xf>
    <xf borderId="0" fillId="13" fontId="2" numFmtId="0" xfId="0" applyAlignment="1" applyFont="1">
      <alignment vertical="bottom"/>
    </xf>
    <xf borderId="9" fillId="15" fontId="9" numFmtId="0" xfId="0" applyAlignment="1" applyBorder="1" applyFont="1">
      <alignment horizontal="right" vertical="bottom"/>
    </xf>
    <xf borderId="0" fillId="0" fontId="2" numFmtId="165" xfId="0" applyAlignment="1" applyFont="1" applyNumberFormat="1">
      <alignment horizontal="center" vertical="bottom"/>
    </xf>
    <xf borderId="0" fillId="26" fontId="2" numFmtId="0" xfId="0" applyAlignment="1" applyFont="1">
      <alignment vertical="bottom"/>
    </xf>
    <xf borderId="0" fillId="0" fontId="2" numFmtId="165" xfId="0" applyAlignment="1" applyFont="1" applyNumberFormat="1">
      <alignment vertical="bottom"/>
    </xf>
    <xf borderId="0" fillId="10" fontId="2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10" fontId="9" numFmtId="0" xfId="0" applyAlignment="1" applyFont="1">
      <alignment horizontal="center" vertical="bottom"/>
    </xf>
    <xf borderId="0" fillId="13" fontId="9" numFmtId="0" xfId="0" applyAlignment="1" applyFont="1">
      <alignment horizontal="right" vertical="bottom"/>
    </xf>
    <xf borderId="0" fillId="0" fontId="2" numFmtId="0" xfId="0" applyAlignment="1" applyFont="1">
      <alignment horizontal="center" readingOrder="0" vertical="bottom"/>
    </xf>
    <xf borderId="0" fillId="10" fontId="2" numFmtId="0" xfId="0" applyAlignment="1" applyFont="1">
      <alignment vertical="bottom"/>
    </xf>
    <xf borderId="18" fillId="23" fontId="12" numFmtId="0" xfId="0" applyAlignment="1" applyBorder="1" applyFont="1">
      <alignment horizontal="center" vertical="bottom"/>
    </xf>
    <xf borderId="0" fillId="13" fontId="2" numFmtId="0" xfId="0" applyAlignment="1" applyFont="1">
      <alignment horizontal="right" vertical="bottom"/>
    </xf>
    <xf borderId="0" fillId="29" fontId="9" numFmtId="0" xfId="0" applyAlignment="1" applyFill="1" applyFont="1">
      <alignment vertical="bottom"/>
    </xf>
    <xf borderId="0" fillId="30" fontId="9" numFmtId="0" xfId="0" applyAlignment="1" applyFill="1" applyFont="1">
      <alignment vertical="bottom"/>
    </xf>
    <xf borderId="0" fillId="13" fontId="9" numFmtId="0" xfId="0" applyAlignment="1" applyFont="1">
      <alignment vertical="bottom"/>
    </xf>
    <xf borderId="0" fillId="2" fontId="12" numFmtId="0" xfId="0" applyAlignment="1" applyFont="1">
      <alignment vertical="bottom"/>
    </xf>
    <xf borderId="0" fillId="31" fontId="12" numFmtId="0" xfId="0" applyAlignment="1" applyFill="1" applyFont="1">
      <alignment vertical="bottom"/>
    </xf>
    <xf borderId="0" fillId="7" fontId="12" numFmtId="0" xfId="0" applyAlignment="1" applyFont="1">
      <alignment vertical="bottom"/>
    </xf>
    <xf borderId="0" fillId="32" fontId="12" numFmtId="0" xfId="0" applyAlignment="1" applyFill="1" applyFont="1">
      <alignment vertical="bottom"/>
    </xf>
    <xf borderId="0" fillId="26" fontId="9" numFmtId="0" xfId="0" applyAlignment="1" applyFont="1">
      <alignment vertical="bottom"/>
    </xf>
    <xf borderId="0" fillId="26" fontId="2" numFmtId="0" xfId="0" applyAlignment="1" applyFont="1">
      <alignment horizontal="right" vertical="bottom"/>
    </xf>
    <xf borderId="0" fillId="13" fontId="12" numFmtId="0" xfId="0" applyAlignment="1" applyFont="1">
      <alignment vertical="bottom"/>
    </xf>
    <xf borderId="0" fillId="31" fontId="9" numFmtId="0" xfId="0" applyAlignment="1" applyFont="1">
      <alignment horizontal="right" vertical="bottom"/>
    </xf>
    <xf borderId="0" fillId="18" fontId="9" numFmtId="0" xfId="0" applyAlignment="1" applyFont="1">
      <alignment vertical="bottom"/>
    </xf>
    <xf borderId="0" fillId="33" fontId="12" numFmtId="0" xfId="0" applyAlignment="1" applyFill="1" applyFont="1">
      <alignment vertical="bottom"/>
    </xf>
    <xf borderId="0" fillId="11" fontId="2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12" fillId="19" fontId="11" numFmtId="0" xfId="0" applyAlignment="1" applyBorder="1" applyFont="1">
      <alignment horizontal="center" vertical="bottom"/>
    </xf>
    <xf borderId="12" fillId="16" fontId="16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5"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Individual Performance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'Team22 KINYARK'!$M$77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'Team22 KINYARK'!$L$78:$L$84</c:f>
            </c:strRef>
          </c:cat>
          <c:val>
            <c:numRef>
              <c:f>'Team22 KINYARK'!$M$78:$M$84</c:f>
              <c:numCache/>
            </c:numRef>
          </c:val>
        </c:ser>
        <c:ser>
          <c:idx val="1"/>
          <c:order val="1"/>
          <c:tx>
            <c:strRef>
              <c:f>'Team22 KINYARK'!$N$77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'Team22 KINYARK'!$L$78:$L$84</c:f>
            </c:strRef>
          </c:cat>
          <c:val>
            <c:numRef>
              <c:f>'Team22 KINYARK'!$N$78:$N$84</c:f>
              <c:numCache/>
            </c:numRef>
          </c:val>
        </c:ser>
        <c:ser>
          <c:idx val="2"/>
          <c:order val="2"/>
          <c:tx>
            <c:strRef>
              <c:f>'Team22 KINYARK'!$O$77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</c:dPt>
          <c:cat>
            <c:strRef>
              <c:f>'Team22 KINYARK'!$L$78:$L$84</c:f>
            </c:strRef>
          </c:cat>
          <c:val>
            <c:numRef>
              <c:f>'Team22 KINYARK'!$O$78:$O$84</c:f>
              <c:numCache/>
            </c:numRef>
          </c:val>
        </c:ser>
        <c:axId val="1783894553"/>
        <c:axId val="1992542343"/>
      </c:barChart>
      <c:catAx>
        <c:axId val="1783894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542343"/>
      </c:catAx>
      <c:valAx>
        <c:axId val="19925423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894553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Individual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'Team22 KINYARK'!$AB$77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'Team22 KINYARK'!$AA$78:$AA$83</c:f>
            </c:strRef>
          </c:cat>
          <c:val>
            <c:numRef>
              <c:f>'Team22 KINYARK'!$AB$78:$AB$83</c:f>
              <c:numCache/>
            </c:numRef>
          </c:val>
        </c:ser>
        <c:ser>
          <c:idx val="1"/>
          <c:order val="1"/>
          <c:tx>
            <c:strRef>
              <c:f>'Team22 KINYARK'!$AC$77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'Team22 KINYARK'!$AA$78:$AA$83</c:f>
            </c:strRef>
          </c:cat>
          <c:val>
            <c:numRef>
              <c:f>'Team22 KINYARK'!$AC$78:$AC$83</c:f>
              <c:numCache/>
            </c:numRef>
          </c:val>
        </c:ser>
        <c:ser>
          <c:idx val="2"/>
          <c:order val="2"/>
          <c:tx>
            <c:strRef>
              <c:f>'Team22 KINYARK'!$AD$77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</c:dPt>
          <c:cat>
            <c:strRef>
              <c:f>'Team22 KINYARK'!$AA$78:$AA$83</c:f>
            </c:strRef>
          </c:cat>
          <c:val>
            <c:numRef>
              <c:f>'Team22 KINYARK'!$AD$78:$AD$83</c:f>
              <c:numCache/>
            </c:numRef>
          </c:val>
        </c:ser>
        <c:axId val="1853560368"/>
        <c:axId val="1089678179"/>
      </c:barChart>
      <c:catAx>
        <c:axId val="1853560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9678179"/>
      </c:catAx>
      <c:valAx>
        <c:axId val="1089678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3560368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Individual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'Team22 KINYARK'!$AO$77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'Team22 KINYARK'!$AN$78:$AN$83</c:f>
            </c:strRef>
          </c:cat>
          <c:val>
            <c:numRef>
              <c:f>'Team22 KINYARK'!$AO$78:$AO$83</c:f>
              <c:numCache/>
            </c:numRef>
          </c:val>
        </c:ser>
        <c:ser>
          <c:idx val="1"/>
          <c:order val="1"/>
          <c:tx>
            <c:strRef>
              <c:f>'Team22 KINYARK'!$AP$77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'Team22 KINYARK'!$AN$78:$AN$83</c:f>
            </c:strRef>
          </c:cat>
          <c:val>
            <c:numRef>
              <c:f>'Team22 KINYARK'!$AP$78:$AP$83</c:f>
              <c:numCache/>
            </c:numRef>
          </c:val>
        </c:ser>
        <c:ser>
          <c:idx val="2"/>
          <c:order val="2"/>
          <c:tx>
            <c:strRef>
              <c:f>'Team22 KINYARK'!$AQ$77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</c:dPt>
          <c:cat>
            <c:strRef>
              <c:f>'Team22 KINYARK'!$AN$78:$AN$83</c:f>
            </c:strRef>
          </c:cat>
          <c:val>
            <c:numRef>
              <c:f>'Team22 KINYARK'!$AQ$78:$AQ$83</c:f>
              <c:numCache/>
            </c:numRef>
          </c:val>
        </c:ser>
        <c:axId val="1151779540"/>
        <c:axId val="1532970640"/>
      </c:barChart>
      <c:catAx>
        <c:axId val="11517795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970640"/>
      </c:catAx>
      <c:valAx>
        <c:axId val="1532970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1779540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Individual Performance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'Team22 KINYARK'!$BB$77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'Team22 KINYARK'!$BA$78:$BA$83</c:f>
            </c:strRef>
          </c:cat>
          <c:val>
            <c:numRef>
              <c:f>'Team22 KINYARK'!$BB$78:$BB$83</c:f>
              <c:numCache/>
            </c:numRef>
          </c:val>
        </c:ser>
        <c:ser>
          <c:idx val="1"/>
          <c:order val="1"/>
          <c:tx>
            <c:strRef>
              <c:f>'Team22 KINYARK'!$BC$77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'Team22 KINYARK'!$BA$78:$BA$83</c:f>
            </c:strRef>
          </c:cat>
          <c:val>
            <c:numRef>
              <c:f>'Team22 KINYARK'!$BC$78:$BC$83</c:f>
              <c:numCache/>
            </c:numRef>
          </c:val>
        </c:ser>
        <c:ser>
          <c:idx val="2"/>
          <c:order val="2"/>
          <c:tx>
            <c:strRef>
              <c:f>'Team22 KINYARK'!$BD$77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</c:dPt>
          <c:cat>
            <c:strRef>
              <c:f>'Team22 KINYARK'!$BA$78:$BA$83</c:f>
            </c:strRef>
          </c:cat>
          <c:val>
            <c:numRef>
              <c:f>'Team22 KINYARK'!$BD$78:$BD$83</c:f>
              <c:numCache/>
            </c:numRef>
          </c:val>
        </c:ser>
        <c:axId val="854550098"/>
        <c:axId val="267242167"/>
      </c:barChart>
      <c:catAx>
        <c:axId val="854550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242167"/>
      </c:catAx>
      <c:valAx>
        <c:axId val="267242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550098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ITERATION 0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Hours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'Team22 KINYARK'!$F$77:$J$77</c:f>
            </c:strRef>
          </c:cat>
          <c:val>
            <c:numRef>
              <c:f>'Team22 KINYARK'!$F$78:$J$78</c:f>
              <c:numCache/>
            </c:numRef>
          </c:val>
        </c:ser>
        <c:ser>
          <c:idx val="1"/>
          <c:order val="1"/>
          <c:tx>
            <c:v>Actual Hours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'Team22 KINYARK'!$F$77:$J$77</c:f>
            </c:strRef>
          </c:cat>
          <c:val>
            <c:numRef>
              <c:f>'Team22 KINYARK'!$F$79:$J$79</c:f>
              <c:numCache/>
            </c:numRef>
          </c:val>
        </c:ser>
        <c:axId val="2111058039"/>
        <c:axId val="408170529"/>
      </c:barChart>
      <c:catAx>
        <c:axId val="2111058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408170529"/>
      </c:catAx>
      <c:valAx>
        <c:axId val="4081705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111058039"/>
      </c:valAx>
    </c:plotArea>
    <c:legend>
      <c:legendPos val="b"/>
      <c:layout>
        <c:manualLayout>
          <c:xMode val="edge"/>
          <c:yMode val="edge"/>
          <c:x val="0.17219787305622003"/>
          <c:y val="0.925359342915811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ITERATION 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Days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'Team22 KINYARK'!$T$77:$Y$77</c:f>
            </c:strRef>
          </c:cat>
          <c:val>
            <c:numRef>
              <c:f>'Team22 KINYARK'!$T$78:$Y$78</c:f>
              <c:numCache/>
            </c:numRef>
          </c:val>
        </c:ser>
        <c:ser>
          <c:idx val="1"/>
          <c:order val="1"/>
          <c:tx>
            <c:v>Actual Days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'Team22 KINYARK'!$T$77:$Y$77</c:f>
            </c:strRef>
          </c:cat>
          <c:val>
            <c:numRef>
              <c:f>'Team22 KINYARK'!$T$79:$Y$79</c:f>
              <c:numCache/>
            </c:numRef>
          </c:val>
        </c:ser>
        <c:axId val="298056878"/>
        <c:axId val="1475653647"/>
      </c:barChart>
      <c:catAx>
        <c:axId val="298056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475653647"/>
      </c:catAx>
      <c:valAx>
        <c:axId val="1475653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980568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ITERATION 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Days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'Team22 KINYARK'!$AG$77:$AL$77</c:f>
            </c:strRef>
          </c:cat>
          <c:val>
            <c:numRef>
              <c:f>'Team22 KINYARK'!$AG$78:$AL$78</c:f>
              <c:numCache/>
            </c:numRef>
          </c:val>
        </c:ser>
        <c:ser>
          <c:idx val="1"/>
          <c:order val="1"/>
          <c:tx>
            <c:v>Actual Days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'Team22 KINYARK'!$AG$77:$AL$77</c:f>
            </c:strRef>
          </c:cat>
          <c:val>
            <c:numRef>
              <c:f>'Team22 KINYARK'!$AG$79:$AL$79</c:f>
              <c:numCache/>
            </c:numRef>
          </c:val>
        </c:ser>
        <c:axId val="263891651"/>
        <c:axId val="1278870334"/>
      </c:barChart>
      <c:catAx>
        <c:axId val="263891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278870334"/>
      </c:catAx>
      <c:valAx>
        <c:axId val="12788703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26389165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ITERATION 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Days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'Team22 KINYARK'!$AT$77:$AY$77</c:f>
            </c:strRef>
          </c:cat>
          <c:val>
            <c:numRef>
              <c:f>'Team22 KINYARK'!$AT$78:$AY$78</c:f>
              <c:numCache/>
            </c:numRef>
          </c:val>
        </c:ser>
        <c:ser>
          <c:idx val="1"/>
          <c:order val="1"/>
          <c:tx>
            <c:v>Actual Days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'Team22 KINYARK'!$AT$77:$AY$77</c:f>
            </c:strRef>
          </c:cat>
          <c:val>
            <c:numRef>
              <c:f>'Team22 KINYARK'!$AT$79:$AY$79</c:f>
              <c:numCache/>
            </c:numRef>
          </c:val>
        </c:ser>
        <c:axId val="1691015039"/>
        <c:axId val="1794624786"/>
      </c:barChart>
      <c:catAx>
        <c:axId val="16910150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794624786"/>
      </c:catAx>
      <c:valAx>
        <c:axId val="1794624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69101503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Overview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Planned Days</c:v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'Team22 KINYARK'!$BH$14:$BO$14</c:f>
            </c:strRef>
          </c:cat>
          <c:val>
            <c:numRef>
              <c:f>'Team22 KINYARK'!$BH$15:$BO$15</c:f>
              <c:numCache/>
            </c:numRef>
          </c:val>
        </c:ser>
        <c:ser>
          <c:idx val="1"/>
          <c:order val="1"/>
          <c:tx>
            <c:v>Actual Days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'Team22 KINYARK'!$BH$14:$BO$14</c:f>
            </c:strRef>
          </c:cat>
          <c:val>
            <c:numRef>
              <c:f>'Team22 KINYARK'!$BH$16:$BO$16</c:f>
              <c:numCache/>
            </c:numRef>
          </c:val>
        </c:ser>
        <c:axId val="1321752099"/>
        <c:axId val="742527953"/>
      </c:barChart>
      <c:lineChart>
        <c:ser>
          <c:idx val="2"/>
          <c:order val="2"/>
          <c:tx>
            <c:v>Remaining Effort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'Team22 KINYARK'!$BH$14:$BO$14</c:f>
            </c:strRef>
          </c:cat>
          <c:val>
            <c:numRef>
              <c:f>'Team22 KINYARK'!$BH$17:$BO$17</c:f>
              <c:numCache/>
            </c:numRef>
          </c:val>
          <c:smooth val="0"/>
        </c:ser>
        <c:ser>
          <c:idx val="3"/>
          <c:order val="3"/>
          <c:tx>
            <c:v>Ideal Burndown</c:v>
          </c:tx>
          <c:spPr>
            <a:ln cmpd="sng" w="28575">
              <a:solidFill>
                <a:schemeClr val="accent6"/>
              </a:solidFill>
              <a:prstDash val="lgDash"/>
            </a:ln>
          </c:spPr>
          <c:marker>
            <c:symbol val="none"/>
          </c:marker>
          <c:cat>
            <c:strRef>
              <c:f>'Team22 KINYARK'!$BH$14:$BO$14</c:f>
            </c:strRef>
          </c:cat>
          <c:val>
            <c:numRef>
              <c:f>'Team22 KINYARK'!$BH$18:$BO$18</c:f>
              <c:numCache/>
            </c:numRef>
          </c:val>
          <c:smooth val="0"/>
        </c:ser>
        <c:axId val="1321752099"/>
        <c:axId val="742527953"/>
      </c:lineChart>
      <c:catAx>
        <c:axId val="1321752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742527953"/>
      </c:catAx>
      <c:valAx>
        <c:axId val="742527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i="0" sz="900">
                <a:solidFill>
                  <a:srgbClr val="000000"/>
                </a:solidFill>
                <a:latin typeface="+mn-lt"/>
              </a:defRPr>
            </a:pPr>
          </a:p>
        </c:txPr>
        <c:crossAx val="13217520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Individual Performance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'Team22 KINYARK'!$BK$48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'Team22 KINYARK'!$BJ$49:$BJ$54</c:f>
            </c:strRef>
          </c:cat>
          <c:val>
            <c:numRef>
              <c:f>'Team22 KINYARK'!$BK$49:$BK$54</c:f>
              <c:numCache/>
            </c:numRef>
          </c:val>
        </c:ser>
        <c:ser>
          <c:idx val="1"/>
          <c:order val="1"/>
          <c:tx>
            <c:strRef>
              <c:f>'Team22 KINYARK'!$BL$48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'Team22 KINYARK'!$BJ$49:$BJ$54</c:f>
            </c:strRef>
          </c:cat>
          <c:val>
            <c:numRef>
              <c:f>'Team22 KINYARK'!$BL$49:$BL$54</c:f>
              <c:numCache/>
            </c:numRef>
          </c:val>
        </c:ser>
        <c:ser>
          <c:idx val="2"/>
          <c:order val="2"/>
          <c:tx>
            <c:strRef>
              <c:f>'Team22 KINYARK'!$BM$48</c:f>
            </c:strRef>
          </c:tx>
          <c:spPr>
            <a:solidFill>
              <a:srgbClr val="00FF00"/>
            </a:solidFill>
            <a:ln cmpd="sng">
              <a:noFill/>
            </a:ln>
          </c:spPr>
          <c:dPt>
            <c:idx val="0"/>
          </c:dPt>
          <c:cat>
            <c:strRef>
              <c:f>'Team22 KINYARK'!$BJ$49:$BJ$54</c:f>
            </c:strRef>
          </c:cat>
          <c:val>
            <c:numRef>
              <c:f>'Team22 KINYARK'!$BM$49:$BM$54</c:f>
              <c:numCache/>
            </c:numRef>
          </c:val>
        </c:ser>
        <c:axId val="1465560694"/>
        <c:axId val="1833269362"/>
      </c:barChart>
      <c:catAx>
        <c:axId val="14655606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269362"/>
      </c:catAx>
      <c:valAx>
        <c:axId val="1833269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5560694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latin typeface="Arial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0" Type="http://schemas.openxmlformats.org/officeDocument/2006/relationships/chart" Target="../charts/chart10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942975</xdr:colOff>
      <xdr:row>87</xdr:row>
      <xdr:rowOff>9525</xdr:rowOff>
    </xdr:from>
    <xdr:ext cx="3895725" cy="2419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66675</xdr:colOff>
      <xdr:row>85</xdr:row>
      <xdr:rowOff>333375</xdr:rowOff>
    </xdr:from>
    <xdr:ext cx="3838575" cy="2419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39</xdr:col>
      <xdr:colOff>9525</xdr:colOff>
      <xdr:row>85</xdr:row>
      <xdr:rowOff>333375</xdr:rowOff>
    </xdr:from>
    <xdr:ext cx="3895725" cy="24193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52</xdr:col>
      <xdr:colOff>361950</xdr:colOff>
      <xdr:row>89</xdr:row>
      <xdr:rowOff>66675</xdr:rowOff>
    </xdr:from>
    <xdr:ext cx="3895725" cy="24193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9525</xdr:colOff>
      <xdr:row>83</xdr:row>
      <xdr:rowOff>323850</xdr:rowOff>
    </xdr:from>
    <xdr:ext cx="5972175" cy="46386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19</xdr:col>
      <xdr:colOff>47625</xdr:colOff>
      <xdr:row>84</xdr:row>
      <xdr:rowOff>161925</xdr:rowOff>
    </xdr:from>
    <xdr:ext cx="5972175" cy="4638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32</xdr:col>
      <xdr:colOff>9525</xdr:colOff>
      <xdr:row>84</xdr:row>
      <xdr:rowOff>76200</xdr:rowOff>
    </xdr:from>
    <xdr:ext cx="5772150" cy="46386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44</xdr:col>
      <xdr:colOff>885825</xdr:colOff>
      <xdr:row>86</xdr:row>
      <xdr:rowOff>123825</xdr:rowOff>
    </xdr:from>
    <xdr:ext cx="5772150" cy="46386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59</xdr:col>
      <xdr:colOff>9525</xdr:colOff>
      <xdr:row>20</xdr:row>
      <xdr:rowOff>19050</xdr:rowOff>
    </xdr:from>
    <xdr:ext cx="7705725" cy="58864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58</xdr:col>
      <xdr:colOff>933450</xdr:colOff>
      <xdr:row>56</xdr:row>
      <xdr:rowOff>161925</xdr:rowOff>
    </xdr:from>
    <xdr:ext cx="7753350" cy="47910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2.0" topLeftCell="E13" activePane="bottomRight" state="frozen"/>
      <selection activeCell="E1" sqref="E1" pane="topRight"/>
      <selection activeCell="A13" sqref="A13" pane="bottomLeft"/>
      <selection activeCell="E13" sqref="E13" pane="bottomRight"/>
    </sheetView>
  </sheetViews>
  <sheetFormatPr customHeight="1" defaultColWidth="12.63" defaultRowHeight="15.75"/>
  <cols>
    <col customWidth="1" min="2" max="2" width="29.13"/>
    <col customWidth="1" min="4" max="4" width="4.63"/>
    <col customWidth="1" min="6" max="6" width="59.38"/>
    <col customWidth="1" min="7" max="7" width="38.13"/>
    <col customWidth="1" min="10" max="10" width="23.13"/>
    <col customWidth="1" min="13" max="13" width="22.38"/>
    <col customWidth="1" min="14" max="14" width="10.75"/>
    <col customWidth="1" min="18" max="18" width="10.5"/>
    <col customWidth="1" min="19" max="19" width="0.38"/>
    <col customWidth="1" min="21" max="21" width="43.13"/>
    <col customWidth="1" min="22" max="22" width="30.88"/>
    <col customWidth="1" min="34" max="34" width="38.63"/>
    <col customWidth="1" min="35" max="35" width="50.75"/>
    <col customWidth="1" min="47" max="47" width="45.0"/>
    <col customWidth="1" min="48" max="48" width="27.88"/>
    <col customWidth="1" min="58" max="58" width="15.75"/>
  </cols>
  <sheetData>
    <row r="1">
      <c r="A1" s="1" t="s">
        <v>0</v>
      </c>
      <c r="B1" s="2"/>
      <c r="C1" s="2"/>
      <c r="D1" s="2"/>
      <c r="E1" s="3" t="s">
        <v>1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>
      <c r="A2" s="7" t="s">
        <v>2</v>
      </c>
      <c r="B2" s="8" t="s">
        <v>3</v>
      </c>
      <c r="D2" s="9"/>
      <c r="E2" s="10" t="s">
        <v>4</v>
      </c>
      <c r="F2" s="11" t="s">
        <v>5</v>
      </c>
      <c r="G2" s="12"/>
      <c r="H2" s="13"/>
      <c r="I2" s="13"/>
      <c r="J2" s="13"/>
      <c r="K2" s="13"/>
      <c r="L2" s="13"/>
      <c r="M2" s="13"/>
      <c r="N2" s="13"/>
      <c r="O2" s="13"/>
      <c r="P2" s="13"/>
      <c r="Q2" s="6"/>
      <c r="R2" s="6"/>
      <c r="S2" s="6"/>
      <c r="T2" s="6"/>
      <c r="U2" s="14" t="s">
        <v>6</v>
      </c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>
      <c r="A3" s="15" t="s">
        <v>7</v>
      </c>
      <c r="B3" s="8" t="s">
        <v>8</v>
      </c>
      <c r="D3" s="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6"/>
      <c r="R3" s="6"/>
      <c r="S3" s="6"/>
      <c r="T3" s="6"/>
      <c r="U3" s="17" t="s">
        <v>9</v>
      </c>
      <c r="V3" s="17" t="s">
        <v>10</v>
      </c>
      <c r="W3" s="17" t="s">
        <v>11</v>
      </c>
      <c r="X3" s="17" t="s">
        <v>12</v>
      </c>
      <c r="Y3" s="17" t="s">
        <v>13</v>
      </c>
      <c r="Z3" s="17" t="s">
        <v>14</v>
      </c>
      <c r="AA3" s="17" t="s">
        <v>15</v>
      </c>
      <c r="AB3" s="17" t="s">
        <v>16</v>
      </c>
      <c r="AC3" s="17" t="s">
        <v>17</v>
      </c>
      <c r="AD3" s="17" t="s">
        <v>18</v>
      </c>
      <c r="AE3" s="17" t="s">
        <v>19</v>
      </c>
      <c r="AF3" s="17" t="s">
        <v>20</v>
      </c>
      <c r="AG3" s="17" t="s">
        <v>21</v>
      </c>
      <c r="AH3" s="17" t="s">
        <v>22</v>
      </c>
      <c r="AI3" s="17" t="s">
        <v>23</v>
      </c>
      <c r="AJ3" s="17" t="s">
        <v>24</v>
      </c>
      <c r="AK3" s="17" t="s">
        <v>25</v>
      </c>
      <c r="AL3" s="17" t="s">
        <v>26</v>
      </c>
      <c r="AM3" s="17" t="s">
        <v>27</v>
      </c>
      <c r="AN3" s="17" t="s">
        <v>28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</row>
    <row r="4">
      <c r="A4" s="18" t="s">
        <v>29</v>
      </c>
      <c r="B4" s="8" t="s">
        <v>30</v>
      </c>
      <c r="D4" s="19"/>
      <c r="E4" s="20">
        <v>45869.0</v>
      </c>
      <c r="F4" s="21"/>
      <c r="G4" s="21"/>
      <c r="H4" s="20">
        <v>45883.0</v>
      </c>
      <c r="I4" s="21"/>
      <c r="J4" s="21"/>
      <c r="K4" s="22">
        <v>45900.0</v>
      </c>
      <c r="L4" s="21"/>
      <c r="M4" s="21"/>
      <c r="N4" s="23">
        <v>45904.0</v>
      </c>
      <c r="O4" s="21"/>
      <c r="P4" s="21"/>
      <c r="Q4" s="6"/>
      <c r="R4" s="6"/>
      <c r="S4" s="6"/>
      <c r="T4" s="6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</row>
    <row r="5">
      <c r="A5" s="25" t="s">
        <v>31</v>
      </c>
      <c r="B5" s="26" t="s">
        <v>32</v>
      </c>
      <c r="D5" s="27"/>
      <c r="E5" s="28" t="s">
        <v>33</v>
      </c>
      <c r="F5" s="21"/>
      <c r="G5" s="12"/>
      <c r="H5" s="29" t="s">
        <v>34</v>
      </c>
      <c r="I5" s="21"/>
      <c r="J5" s="12"/>
      <c r="K5" s="30" t="s">
        <v>35</v>
      </c>
      <c r="L5" s="21"/>
      <c r="M5" s="12"/>
      <c r="N5" s="31" t="s">
        <v>36</v>
      </c>
      <c r="O5" s="21"/>
      <c r="P5" s="12"/>
      <c r="Q5" s="6"/>
      <c r="R5" s="6"/>
      <c r="S5" s="6"/>
      <c r="T5" s="2" t="s">
        <v>37</v>
      </c>
      <c r="U5" s="32" t="s">
        <v>38</v>
      </c>
      <c r="V5" s="33" t="s">
        <v>39</v>
      </c>
      <c r="W5" s="33" t="s">
        <v>39</v>
      </c>
      <c r="X5" s="33" t="s">
        <v>39</v>
      </c>
      <c r="Y5" s="33" t="s">
        <v>39</v>
      </c>
      <c r="Z5" s="33" t="s">
        <v>39</v>
      </c>
      <c r="AA5" s="33" t="s">
        <v>39</v>
      </c>
      <c r="AB5" s="33" t="s">
        <v>39</v>
      </c>
      <c r="AC5" s="33" t="s">
        <v>39</v>
      </c>
      <c r="AD5" s="33" t="s">
        <v>39</v>
      </c>
      <c r="AE5" s="33" t="s">
        <v>39</v>
      </c>
      <c r="AF5" s="33" t="s">
        <v>39</v>
      </c>
      <c r="AG5" s="33" t="s">
        <v>39</v>
      </c>
      <c r="AH5" s="33" t="s">
        <v>39</v>
      </c>
      <c r="AI5" s="33" t="s">
        <v>39</v>
      </c>
      <c r="AJ5" s="33" t="s">
        <v>39</v>
      </c>
      <c r="AK5" s="33" t="s">
        <v>39</v>
      </c>
      <c r="AL5" s="33" t="s">
        <v>39</v>
      </c>
      <c r="AM5" s="33" t="s">
        <v>39</v>
      </c>
      <c r="AN5" s="33" t="s">
        <v>39</v>
      </c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</row>
    <row r="6">
      <c r="A6" s="34" t="s">
        <v>40</v>
      </c>
      <c r="B6" s="8">
        <v>0.0</v>
      </c>
      <c r="D6" s="9"/>
      <c r="E6" s="10" t="s">
        <v>41</v>
      </c>
      <c r="F6" s="10" t="s">
        <v>42</v>
      </c>
      <c r="G6" s="10" t="s">
        <v>43</v>
      </c>
      <c r="H6" s="10" t="s">
        <v>41</v>
      </c>
      <c r="I6" s="10" t="s">
        <v>42</v>
      </c>
      <c r="J6" s="10" t="s">
        <v>43</v>
      </c>
      <c r="K6" s="10" t="s">
        <v>41</v>
      </c>
      <c r="L6" s="10" t="s">
        <v>42</v>
      </c>
      <c r="M6" s="10" t="s">
        <v>43</v>
      </c>
      <c r="N6" s="10" t="s">
        <v>41</v>
      </c>
      <c r="O6" s="10" t="s">
        <v>42</v>
      </c>
      <c r="P6" s="10" t="s">
        <v>43</v>
      </c>
      <c r="Q6" s="6"/>
      <c r="R6" s="6"/>
      <c r="S6" s="6"/>
      <c r="T6" s="2" t="s">
        <v>44</v>
      </c>
      <c r="U6" s="35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</row>
    <row r="7">
      <c r="A7" s="36" t="s">
        <v>45</v>
      </c>
      <c r="B7" s="8" t="s">
        <v>46</v>
      </c>
      <c r="D7" s="9"/>
      <c r="E7" s="37">
        <v>6.7022748E7</v>
      </c>
      <c r="F7" s="10" t="s">
        <v>47</v>
      </c>
      <c r="G7" s="10" t="s">
        <v>48</v>
      </c>
      <c r="H7" s="37">
        <v>6.7022748E7</v>
      </c>
      <c r="I7" s="10" t="s">
        <v>47</v>
      </c>
      <c r="J7" s="10" t="s">
        <v>48</v>
      </c>
      <c r="K7" s="37">
        <v>6.7022748E7</v>
      </c>
      <c r="L7" s="10" t="s">
        <v>47</v>
      </c>
      <c r="M7" s="10" t="s">
        <v>49</v>
      </c>
      <c r="N7" s="37">
        <v>6.7022748E7</v>
      </c>
      <c r="O7" s="10" t="s">
        <v>47</v>
      </c>
      <c r="P7" s="10" t="s">
        <v>50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</row>
    <row r="8">
      <c r="A8" s="38" t="s">
        <v>51</v>
      </c>
      <c r="B8" s="8" t="s">
        <v>52</v>
      </c>
      <c r="D8" s="9"/>
      <c r="E8" s="37">
        <v>6.7022535E7</v>
      </c>
      <c r="F8" s="10" t="s">
        <v>53</v>
      </c>
      <c r="G8" s="10" t="s">
        <v>49</v>
      </c>
      <c r="H8" s="37">
        <v>6.7022535E7</v>
      </c>
      <c r="I8" s="10" t="s">
        <v>53</v>
      </c>
      <c r="J8" s="10" t="s">
        <v>49</v>
      </c>
      <c r="K8" s="37">
        <v>6.7022535E7</v>
      </c>
      <c r="L8" s="10" t="s">
        <v>53</v>
      </c>
      <c r="M8" s="10" t="s">
        <v>48</v>
      </c>
      <c r="N8" s="37">
        <v>6.7022535E7</v>
      </c>
      <c r="O8" s="10" t="s">
        <v>53</v>
      </c>
      <c r="P8" s="10" t="s">
        <v>50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M8" s="6"/>
      <c r="BN8" s="6"/>
      <c r="BO8" s="6"/>
      <c r="BP8" s="6"/>
      <c r="BQ8" s="6"/>
    </row>
    <row r="9" ht="16.5" customHeight="1">
      <c r="A9" s="2"/>
      <c r="B9" s="2"/>
      <c r="C9" s="2"/>
      <c r="D9" s="9"/>
      <c r="E9" s="37">
        <v>6.7023031E7</v>
      </c>
      <c r="F9" s="9" t="s">
        <v>54</v>
      </c>
      <c r="G9" s="10" t="s">
        <v>55</v>
      </c>
      <c r="H9" s="37">
        <v>6.7023031E7</v>
      </c>
      <c r="I9" s="9" t="s">
        <v>54</v>
      </c>
      <c r="J9" s="10" t="s">
        <v>55</v>
      </c>
      <c r="K9" s="37">
        <v>6.7023031E7</v>
      </c>
      <c r="L9" s="9" t="s">
        <v>54</v>
      </c>
      <c r="M9" s="10" t="s">
        <v>55</v>
      </c>
      <c r="N9" s="37">
        <v>6.7023031E7</v>
      </c>
      <c r="O9" s="9" t="s">
        <v>54</v>
      </c>
      <c r="P9" s="10" t="s">
        <v>56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</row>
    <row r="10">
      <c r="A10" s="6"/>
      <c r="B10" s="6"/>
      <c r="C10" s="6"/>
      <c r="D10" s="39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41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</row>
    <row r="13">
      <c r="A13" s="2"/>
      <c r="B13" s="2"/>
      <c r="C13" s="2"/>
      <c r="D13" s="2"/>
      <c r="E13" s="42" t="s">
        <v>57</v>
      </c>
      <c r="F13" s="43"/>
      <c r="G13" s="43"/>
      <c r="H13" s="43"/>
      <c r="I13" s="43"/>
      <c r="J13" s="43"/>
      <c r="K13" s="43"/>
      <c r="L13" s="43"/>
      <c r="M13" s="43"/>
      <c r="N13" s="43"/>
      <c r="O13" s="44" t="s">
        <v>58</v>
      </c>
      <c r="P13" s="45"/>
      <c r="Q13" s="46" t="s">
        <v>59</v>
      </c>
      <c r="T13" s="47" t="s">
        <v>60</v>
      </c>
      <c r="U13" s="43"/>
      <c r="V13" s="43"/>
      <c r="W13" s="43"/>
      <c r="X13" s="43"/>
      <c r="Y13" s="43"/>
      <c r="Z13" s="43"/>
      <c r="AA13" s="43"/>
      <c r="AB13" s="43"/>
      <c r="AC13" s="43"/>
      <c r="AD13" s="44" t="s">
        <v>58</v>
      </c>
      <c r="AE13" s="45"/>
      <c r="AF13" s="48"/>
      <c r="AG13" s="47" t="s">
        <v>61</v>
      </c>
      <c r="AH13" s="43"/>
      <c r="AI13" s="43"/>
      <c r="AJ13" s="43"/>
      <c r="AK13" s="43"/>
      <c r="AL13" s="43"/>
      <c r="AM13" s="43"/>
      <c r="AN13" s="43"/>
      <c r="AO13" s="43"/>
      <c r="AP13" s="43"/>
      <c r="AQ13" s="44" t="s">
        <v>58</v>
      </c>
      <c r="AR13" s="45"/>
      <c r="AS13" s="49"/>
      <c r="AT13" s="47" t="s">
        <v>62</v>
      </c>
      <c r="AU13" s="43"/>
      <c r="AV13" s="43"/>
      <c r="AW13" s="43"/>
      <c r="AX13" s="43"/>
      <c r="AY13" s="43"/>
      <c r="AZ13" s="43"/>
      <c r="BA13" s="43"/>
      <c r="BB13" s="43"/>
      <c r="BC13" s="43"/>
      <c r="BD13" s="44" t="s">
        <v>58</v>
      </c>
      <c r="BE13" s="45"/>
      <c r="BF13" s="50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</row>
    <row r="14">
      <c r="A14" s="51" t="s">
        <v>63</v>
      </c>
      <c r="E14" s="52"/>
      <c r="F14" s="53"/>
      <c r="G14" s="53"/>
      <c r="H14" s="53"/>
      <c r="I14" s="53"/>
      <c r="J14" s="53"/>
      <c r="K14" s="53"/>
      <c r="L14" s="53"/>
      <c r="M14" s="53"/>
      <c r="N14" s="53"/>
      <c r="O14" s="54" t="str">
        <f t="array" ref="O14">XLOOKUP("PM/Scrummaster",G7:G9,F7:F9)</f>
        <v>พีรพัฒน์ แสวงรัมย์</v>
      </c>
      <c r="P14" s="45"/>
      <c r="T14" s="52"/>
      <c r="U14" s="53"/>
      <c r="V14" s="53"/>
      <c r="W14" s="53"/>
      <c r="X14" s="53"/>
      <c r="Y14" s="53"/>
      <c r="Z14" s="53"/>
      <c r="AA14" s="53"/>
      <c r="AB14" s="53"/>
      <c r="AC14" s="53"/>
      <c r="AD14" s="54" t="str">
        <f t="array" ref="AD14">XLOOKUP("PM/Scrummaster",J7:J9,I7:I9)</f>
        <v>พีรพัฒน์ แสวงรัมย์</v>
      </c>
      <c r="AE14" s="45"/>
      <c r="AG14" s="52"/>
      <c r="AH14" s="53"/>
      <c r="AI14" s="53"/>
      <c r="AJ14" s="53"/>
      <c r="AK14" s="53"/>
      <c r="AL14" s="53"/>
      <c r="AM14" s="53"/>
      <c r="AN14" s="53"/>
      <c r="AO14" s="53"/>
      <c r="AP14" s="53"/>
      <c r="AQ14" s="54" t="str">
        <f t="array" ref="AQ14">XLOOKUP("PM/Scrummaster",M7:M9,L7:L9)</f>
        <v>การัญภาส กันทะเนตร</v>
      </c>
      <c r="AR14" s="45"/>
      <c r="AT14" s="52"/>
      <c r="AU14" s="53"/>
      <c r="AV14" s="53"/>
      <c r="AW14" s="53"/>
      <c r="AX14" s="53"/>
      <c r="AY14" s="53"/>
      <c r="AZ14" s="53"/>
      <c r="BA14" s="53"/>
      <c r="BB14" s="53"/>
      <c r="BC14" s="53"/>
      <c r="BD14" s="54" t="str">
        <f t="array" ref="BD14">XLOOKUP("PM/Scrummaster",P7:P9,O7:O9)</f>
        <v>#N/A</v>
      </c>
      <c r="BE14" s="45"/>
      <c r="BG14" s="6"/>
      <c r="BH14" s="55" t="s">
        <v>64</v>
      </c>
      <c r="BI14" s="56"/>
      <c r="BJ14" s="56"/>
      <c r="BK14" s="57" t="s">
        <v>65</v>
      </c>
      <c r="BL14" s="57" t="s">
        <v>66</v>
      </c>
      <c r="BM14" s="57" t="s">
        <v>67</v>
      </c>
      <c r="BN14" s="57" t="s">
        <v>68</v>
      </c>
      <c r="BO14" s="57" t="s">
        <v>69</v>
      </c>
      <c r="BP14" s="6"/>
      <c r="BQ14" s="6"/>
    </row>
    <row r="15">
      <c r="E15" s="58" t="s">
        <v>70</v>
      </c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60"/>
      <c r="T15" s="58" t="s">
        <v>70</v>
      </c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60"/>
      <c r="AG15" s="58" t="s">
        <v>70</v>
      </c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60"/>
      <c r="AT15" s="58" t="s">
        <v>70</v>
      </c>
      <c r="AU15" s="59"/>
      <c r="AV15" s="59"/>
      <c r="AW15" s="59"/>
      <c r="AX15" s="59"/>
      <c r="AY15" s="59"/>
      <c r="AZ15" s="59"/>
      <c r="BA15" s="59"/>
      <c r="BB15" s="59"/>
      <c r="BC15" s="59"/>
      <c r="BD15" s="59"/>
      <c r="BE15" s="60"/>
      <c r="BG15" s="6"/>
      <c r="BH15" s="61" t="s">
        <v>71</v>
      </c>
      <c r="BI15" s="62"/>
      <c r="BJ15" s="62"/>
      <c r="BK15" s="62"/>
      <c r="BL15" s="63">
        <f t="shared" ref="BL15:BL16" si="1">SUM(G80:J80)</f>
        <v>660</v>
      </c>
      <c r="BM15" s="63">
        <f t="shared" ref="BM15:BM16" si="2">SUM(V80:Y80)</f>
        <v>800</v>
      </c>
      <c r="BN15" s="63">
        <f t="shared" ref="BN15:BN16" si="3">SUM(AI80:AL80)</f>
        <v>740</v>
      </c>
      <c r="BO15" s="63">
        <f t="shared" ref="BO15:BO16" si="4">SUM(AV80:AY80)</f>
        <v>800</v>
      </c>
      <c r="BP15" s="6"/>
      <c r="BQ15" s="6"/>
    </row>
    <row r="16">
      <c r="A16" s="64" t="s">
        <v>72</v>
      </c>
      <c r="C16" s="64" t="s">
        <v>73</v>
      </c>
      <c r="E16" s="65" t="s">
        <v>74</v>
      </c>
      <c r="F16" s="66" t="s">
        <v>75</v>
      </c>
      <c r="G16" s="67" t="s">
        <v>76</v>
      </c>
      <c r="H16" s="67" t="s">
        <v>77</v>
      </c>
      <c r="I16" s="67" t="s">
        <v>0</v>
      </c>
      <c r="J16" s="67" t="s">
        <v>78</v>
      </c>
      <c r="K16" s="67" t="s">
        <v>79</v>
      </c>
      <c r="L16" s="67" t="s">
        <v>80</v>
      </c>
      <c r="M16" s="67" t="s">
        <v>81</v>
      </c>
      <c r="N16" s="67" t="s">
        <v>82</v>
      </c>
      <c r="O16" s="67" t="s">
        <v>83</v>
      </c>
      <c r="P16" s="67" t="s">
        <v>37</v>
      </c>
      <c r="T16" s="65" t="s">
        <v>74</v>
      </c>
      <c r="U16" s="65" t="s">
        <v>84</v>
      </c>
      <c r="V16" s="67" t="s">
        <v>76</v>
      </c>
      <c r="W16" s="67" t="s">
        <v>77</v>
      </c>
      <c r="X16" s="67" t="s">
        <v>0</v>
      </c>
      <c r="Y16" s="67" t="s">
        <v>78</v>
      </c>
      <c r="Z16" s="67" t="s">
        <v>79</v>
      </c>
      <c r="AA16" s="67" t="s">
        <v>80</v>
      </c>
      <c r="AB16" s="67" t="s">
        <v>81</v>
      </c>
      <c r="AC16" s="67" t="s">
        <v>82</v>
      </c>
      <c r="AD16" s="67" t="s">
        <v>83</v>
      </c>
      <c r="AE16" s="67" t="s">
        <v>37</v>
      </c>
      <c r="AG16" s="65" t="s">
        <v>74</v>
      </c>
      <c r="AH16" s="65" t="s">
        <v>84</v>
      </c>
      <c r="AI16" s="67" t="s">
        <v>76</v>
      </c>
      <c r="AJ16" s="67" t="s">
        <v>77</v>
      </c>
      <c r="AK16" s="67" t="s">
        <v>0</v>
      </c>
      <c r="AL16" s="67" t="s">
        <v>78</v>
      </c>
      <c r="AM16" s="67" t="s">
        <v>79</v>
      </c>
      <c r="AN16" s="67" t="s">
        <v>80</v>
      </c>
      <c r="AO16" s="67" t="s">
        <v>81</v>
      </c>
      <c r="AP16" s="67" t="s">
        <v>82</v>
      </c>
      <c r="AQ16" s="67" t="s">
        <v>83</v>
      </c>
      <c r="AR16" s="67" t="s">
        <v>37</v>
      </c>
      <c r="AT16" s="65" t="s">
        <v>74</v>
      </c>
      <c r="AU16" s="65" t="s">
        <v>84</v>
      </c>
      <c r="AV16" s="67" t="s">
        <v>76</v>
      </c>
      <c r="AW16" s="67" t="s">
        <v>77</v>
      </c>
      <c r="AX16" s="67" t="s">
        <v>0</v>
      </c>
      <c r="AY16" s="67" t="s">
        <v>78</v>
      </c>
      <c r="AZ16" s="67" t="s">
        <v>79</v>
      </c>
      <c r="BA16" s="67" t="s">
        <v>80</v>
      </c>
      <c r="BB16" s="67" t="s">
        <v>81</v>
      </c>
      <c r="BC16" s="67" t="s">
        <v>82</v>
      </c>
      <c r="BD16" s="67" t="s">
        <v>83</v>
      </c>
      <c r="BE16" s="67" t="s">
        <v>37</v>
      </c>
      <c r="BG16" s="6"/>
      <c r="BH16" s="68" t="s">
        <v>85</v>
      </c>
      <c r="BI16" s="69"/>
      <c r="BJ16" s="69"/>
      <c r="BK16" s="70"/>
      <c r="BL16" s="71">
        <f t="shared" si="1"/>
        <v>250</v>
      </c>
      <c r="BM16" s="72">
        <f t="shared" si="2"/>
        <v>0</v>
      </c>
      <c r="BN16" s="72">
        <f t="shared" si="3"/>
        <v>0</v>
      </c>
      <c r="BO16" s="72">
        <f t="shared" si="4"/>
        <v>0</v>
      </c>
      <c r="BP16" s="6"/>
      <c r="BQ16" s="6"/>
    </row>
    <row r="17">
      <c r="A17" s="73" t="s">
        <v>86</v>
      </c>
      <c r="C17" s="74">
        <v>15.0</v>
      </c>
      <c r="D17" s="75"/>
      <c r="E17" s="76" t="s">
        <v>87</v>
      </c>
      <c r="F17" s="77" t="s">
        <v>88</v>
      </c>
      <c r="G17" s="77" t="s">
        <v>47</v>
      </c>
      <c r="H17" s="78">
        <v>46217.0</v>
      </c>
      <c r="I17" s="79">
        <v>20.0</v>
      </c>
      <c r="J17" s="80">
        <f t="shared" ref="J17:J24" si="6">(I17-(K17+L17+M17+N17+O17))</f>
        <v>0</v>
      </c>
      <c r="K17" s="81">
        <v>18.0</v>
      </c>
      <c r="L17" s="72">
        <v>0.0</v>
      </c>
      <c r="M17" s="72">
        <v>0.0</v>
      </c>
      <c r="N17" s="72">
        <v>0.0</v>
      </c>
      <c r="O17" s="81">
        <v>2.0</v>
      </c>
      <c r="P17" s="32" t="s">
        <v>40</v>
      </c>
      <c r="T17" s="68" t="s">
        <v>87</v>
      </c>
      <c r="U17" s="77" t="s">
        <v>89</v>
      </c>
      <c r="V17" s="77" t="s">
        <v>54</v>
      </c>
      <c r="W17" s="82">
        <v>46237.0</v>
      </c>
      <c r="X17" s="83">
        <v>20.0</v>
      </c>
      <c r="Y17" s="80">
        <f t="shared" ref="Y17:Y26" si="7">(X17-(Z17+AA17+AB17+AC17+AD17))</f>
        <v>20</v>
      </c>
      <c r="Z17" s="72">
        <v>0.0</v>
      </c>
      <c r="AA17" s="72">
        <v>0.0</v>
      </c>
      <c r="AB17" s="72">
        <v>0.0</v>
      </c>
      <c r="AC17" s="72">
        <v>0.0</v>
      </c>
      <c r="AD17" s="84">
        <v>0.0</v>
      </c>
      <c r="AE17" s="33" t="s">
        <v>90</v>
      </c>
      <c r="AG17" s="76" t="s">
        <v>87</v>
      </c>
      <c r="AH17" s="77" t="s">
        <v>91</v>
      </c>
      <c r="AI17" s="77" t="s">
        <v>54</v>
      </c>
      <c r="AJ17" s="85">
        <v>45887.0</v>
      </c>
      <c r="AK17" s="79">
        <v>20.0</v>
      </c>
      <c r="AL17" s="80">
        <f t="shared" ref="AL17:AL23" si="8">(AK17-(AM17+AN17+AO17+AP17+AQ17))</f>
        <v>20</v>
      </c>
      <c r="AM17" s="72">
        <v>0.0</v>
      </c>
      <c r="AN17" s="72">
        <v>0.0</v>
      </c>
      <c r="AO17" s="72">
        <v>0.0</v>
      </c>
      <c r="AP17" s="72">
        <v>0.0</v>
      </c>
      <c r="AQ17" s="72">
        <v>0.0</v>
      </c>
      <c r="AR17" s="86" t="s">
        <v>90</v>
      </c>
      <c r="AT17" s="76" t="s">
        <v>87</v>
      </c>
      <c r="AU17" s="6"/>
      <c r="AV17" s="6"/>
      <c r="AW17" s="87">
        <v>45838.0</v>
      </c>
      <c r="AX17" s="79">
        <v>20.0</v>
      </c>
      <c r="AY17" s="80">
        <f t="shared" ref="AY17:AY26" si="9">(AX17-(AZ17+BA17+BB17+BC17+BD17))</f>
        <v>20</v>
      </c>
      <c r="AZ17" s="84">
        <v>0.0</v>
      </c>
      <c r="BA17" s="84">
        <v>0.0</v>
      </c>
      <c r="BB17" s="84">
        <v>0.0</v>
      </c>
      <c r="BC17" s="84">
        <v>0.0</v>
      </c>
      <c r="BD17" s="84">
        <v>0.0</v>
      </c>
      <c r="BE17" s="33" t="s">
        <v>90</v>
      </c>
      <c r="BG17" s="6"/>
      <c r="BH17" s="88" t="s">
        <v>92</v>
      </c>
      <c r="BI17" s="62"/>
      <c r="BJ17" s="62"/>
      <c r="BK17" s="63">
        <f>SUM(BL15:BO15)</f>
        <v>3000</v>
      </c>
      <c r="BL17" s="63">
        <f t="shared" ref="BL17:BO17" si="5">BK17-BL16</f>
        <v>2750</v>
      </c>
      <c r="BM17" s="63">
        <f t="shared" si="5"/>
        <v>2750</v>
      </c>
      <c r="BN17" s="63">
        <f t="shared" si="5"/>
        <v>2750</v>
      </c>
      <c r="BO17" s="63">
        <f t="shared" si="5"/>
        <v>2750</v>
      </c>
      <c r="BP17" s="6"/>
      <c r="BQ17" s="6"/>
    </row>
    <row r="18">
      <c r="A18" s="73" t="s">
        <v>88</v>
      </c>
      <c r="C18" s="74">
        <v>5.0</v>
      </c>
      <c r="D18" s="75"/>
      <c r="E18" s="76" t="s">
        <v>93</v>
      </c>
      <c r="F18" s="77" t="s">
        <v>94</v>
      </c>
      <c r="G18" s="77" t="s">
        <v>53</v>
      </c>
      <c r="H18" s="78">
        <v>46217.0</v>
      </c>
      <c r="I18" s="79">
        <v>20.0</v>
      </c>
      <c r="J18" s="80">
        <f t="shared" si="6"/>
        <v>0</v>
      </c>
      <c r="K18" s="81">
        <v>18.0</v>
      </c>
      <c r="L18" s="81">
        <v>0.0</v>
      </c>
      <c r="M18" s="72">
        <v>0.0</v>
      </c>
      <c r="N18" s="72">
        <v>0.0</v>
      </c>
      <c r="O18" s="81">
        <v>2.0</v>
      </c>
      <c r="P18" s="32" t="s">
        <v>40</v>
      </c>
      <c r="T18" s="68" t="s">
        <v>93</v>
      </c>
      <c r="U18" s="77" t="s">
        <v>95</v>
      </c>
      <c r="V18" s="77" t="s">
        <v>54</v>
      </c>
      <c r="W18" s="82">
        <v>46237.0</v>
      </c>
      <c r="X18" s="83">
        <v>20.0</v>
      </c>
      <c r="Y18" s="80">
        <f t="shared" si="7"/>
        <v>20</v>
      </c>
      <c r="Z18" s="72">
        <v>0.0</v>
      </c>
      <c r="AA18" s="72">
        <v>0.0</v>
      </c>
      <c r="AB18" s="72">
        <v>0.0</v>
      </c>
      <c r="AC18" s="72">
        <v>0.0</v>
      </c>
      <c r="AD18" s="84">
        <v>0.0</v>
      </c>
      <c r="AE18" s="33" t="s">
        <v>90</v>
      </c>
      <c r="AG18" s="76" t="s">
        <v>93</v>
      </c>
      <c r="AH18" s="77" t="s">
        <v>96</v>
      </c>
      <c r="AI18" s="77" t="s">
        <v>47</v>
      </c>
      <c r="AJ18" s="85">
        <v>45887.0</v>
      </c>
      <c r="AK18" s="79">
        <v>20.0</v>
      </c>
      <c r="AL18" s="80">
        <f t="shared" si="8"/>
        <v>20</v>
      </c>
      <c r="AM18" s="72">
        <v>0.0</v>
      </c>
      <c r="AN18" s="72">
        <v>0.0</v>
      </c>
      <c r="AO18" s="72">
        <v>0.0</v>
      </c>
      <c r="AP18" s="72">
        <v>0.0</v>
      </c>
      <c r="AQ18" s="72">
        <v>0.0</v>
      </c>
      <c r="AR18" s="86" t="s">
        <v>90</v>
      </c>
      <c r="AT18" s="76" t="s">
        <v>93</v>
      </c>
      <c r="AU18" s="6"/>
      <c r="AV18" s="6"/>
      <c r="AW18" s="24"/>
      <c r="AX18" s="83">
        <v>20.0</v>
      </c>
      <c r="AY18" s="80">
        <f t="shared" si="9"/>
        <v>20</v>
      </c>
      <c r="AZ18" s="84">
        <v>0.0</v>
      </c>
      <c r="BA18" s="84">
        <v>0.0</v>
      </c>
      <c r="BB18" s="84">
        <v>0.0</v>
      </c>
      <c r="BC18" s="84">
        <v>0.0</v>
      </c>
      <c r="BD18" s="84">
        <v>0.0</v>
      </c>
      <c r="BE18" s="33" t="s">
        <v>90</v>
      </c>
      <c r="BG18" s="6"/>
      <c r="BH18" s="89" t="s">
        <v>97</v>
      </c>
      <c r="BI18" s="90"/>
      <c r="BJ18" s="90"/>
      <c r="BK18" s="91">
        <f>SUM(BL15:BO15)</f>
        <v>3000</v>
      </c>
      <c r="BL18" s="91">
        <f t="shared" ref="BL18:BO18" si="10">BK18-BL15</f>
        <v>2340</v>
      </c>
      <c r="BM18" s="92">
        <f t="shared" si="10"/>
        <v>1540</v>
      </c>
      <c r="BN18" s="92">
        <f t="shared" si="10"/>
        <v>800</v>
      </c>
      <c r="BO18" s="92">
        <f t="shared" si="10"/>
        <v>0</v>
      </c>
      <c r="BP18" s="6"/>
      <c r="BQ18" s="6"/>
    </row>
    <row r="19">
      <c r="A19" s="73" t="s">
        <v>98</v>
      </c>
      <c r="C19" s="74">
        <v>5.0</v>
      </c>
      <c r="D19" s="75"/>
      <c r="E19" s="76" t="s">
        <v>99</v>
      </c>
      <c r="F19" s="77" t="s">
        <v>98</v>
      </c>
      <c r="G19" s="77" t="s">
        <v>47</v>
      </c>
      <c r="H19" s="78">
        <v>46218.0</v>
      </c>
      <c r="I19" s="83">
        <v>20.0</v>
      </c>
      <c r="J19" s="80">
        <f t="shared" si="6"/>
        <v>0</v>
      </c>
      <c r="K19" s="81">
        <v>16.0</v>
      </c>
      <c r="L19" s="72">
        <v>0.0</v>
      </c>
      <c r="M19" s="72">
        <v>0.0</v>
      </c>
      <c r="N19" s="72">
        <v>0.0</v>
      </c>
      <c r="O19" s="81">
        <v>4.0</v>
      </c>
      <c r="P19" s="32" t="s">
        <v>40</v>
      </c>
      <c r="T19" s="76" t="s">
        <v>99</v>
      </c>
      <c r="U19" s="77" t="s">
        <v>100</v>
      </c>
      <c r="V19" s="77" t="s">
        <v>47</v>
      </c>
      <c r="W19" s="82">
        <v>46237.0</v>
      </c>
      <c r="X19" s="83">
        <v>20.0</v>
      </c>
      <c r="Y19" s="80">
        <f t="shared" si="7"/>
        <v>20</v>
      </c>
      <c r="Z19" s="72">
        <v>0.0</v>
      </c>
      <c r="AA19" s="72">
        <v>0.0</v>
      </c>
      <c r="AB19" s="72">
        <v>0.0</v>
      </c>
      <c r="AC19" s="72">
        <v>0.0</v>
      </c>
      <c r="AD19" s="84">
        <v>0.0</v>
      </c>
      <c r="AE19" s="33" t="s">
        <v>90</v>
      </c>
      <c r="AG19" s="76" t="s">
        <v>99</v>
      </c>
      <c r="AH19" s="77" t="s">
        <v>101</v>
      </c>
      <c r="AI19" s="77" t="s">
        <v>53</v>
      </c>
      <c r="AJ19" s="85">
        <v>45887.0</v>
      </c>
      <c r="AK19" s="79">
        <v>20.0</v>
      </c>
      <c r="AL19" s="80">
        <f t="shared" si="8"/>
        <v>20</v>
      </c>
      <c r="AM19" s="72">
        <v>0.0</v>
      </c>
      <c r="AN19" s="72">
        <v>0.0</v>
      </c>
      <c r="AO19" s="72">
        <v>0.0</v>
      </c>
      <c r="AP19" s="72">
        <v>0.0</v>
      </c>
      <c r="AQ19" s="72">
        <v>0.0</v>
      </c>
      <c r="AR19" s="86" t="s">
        <v>90</v>
      </c>
      <c r="AT19" s="76" t="s">
        <v>99</v>
      </c>
      <c r="AU19" s="6"/>
      <c r="AV19" s="6"/>
      <c r="AW19" s="24"/>
      <c r="AX19" s="83">
        <v>20.0</v>
      </c>
      <c r="AY19" s="80">
        <f t="shared" si="9"/>
        <v>20</v>
      </c>
      <c r="AZ19" s="72">
        <v>0.0</v>
      </c>
      <c r="BA19" s="72">
        <v>0.0</v>
      </c>
      <c r="BB19" s="72">
        <v>0.0</v>
      </c>
      <c r="BC19" s="72">
        <v>0.0</v>
      </c>
      <c r="BD19" s="72">
        <v>0.0</v>
      </c>
      <c r="BE19" s="86" t="s">
        <v>90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</row>
    <row r="20">
      <c r="A20" s="93" t="s">
        <v>102</v>
      </c>
      <c r="C20" s="74">
        <v>10.0</v>
      </c>
      <c r="D20" s="75"/>
      <c r="E20" s="76" t="s">
        <v>103</v>
      </c>
      <c r="F20" s="77" t="s">
        <v>104</v>
      </c>
      <c r="G20" s="77" t="s">
        <v>54</v>
      </c>
      <c r="H20" s="78">
        <v>46219.0</v>
      </c>
      <c r="I20" s="83">
        <v>20.0</v>
      </c>
      <c r="J20" s="80">
        <f t="shared" si="6"/>
        <v>0</v>
      </c>
      <c r="K20" s="81">
        <v>10.0</v>
      </c>
      <c r="L20" s="72">
        <v>0.0</v>
      </c>
      <c r="M20" s="81">
        <v>0.0</v>
      </c>
      <c r="N20" s="81">
        <v>6.0</v>
      </c>
      <c r="O20" s="81">
        <v>4.0</v>
      </c>
      <c r="P20" s="32" t="s">
        <v>40</v>
      </c>
      <c r="T20" s="76" t="s">
        <v>103</v>
      </c>
      <c r="U20" s="77" t="s">
        <v>105</v>
      </c>
      <c r="V20" s="77" t="s">
        <v>53</v>
      </c>
      <c r="W20" s="82">
        <v>46238.0</v>
      </c>
      <c r="X20" s="83">
        <v>20.0</v>
      </c>
      <c r="Y20" s="80">
        <f t="shared" si="7"/>
        <v>20</v>
      </c>
      <c r="Z20" s="72">
        <v>0.0</v>
      </c>
      <c r="AA20" s="72">
        <v>0.0</v>
      </c>
      <c r="AB20" s="72">
        <v>0.0</v>
      </c>
      <c r="AC20" s="72">
        <v>0.0</v>
      </c>
      <c r="AD20" s="84">
        <v>0.0</v>
      </c>
      <c r="AE20" s="33" t="s">
        <v>90</v>
      </c>
      <c r="AG20" s="76" t="s">
        <v>103</v>
      </c>
      <c r="AH20" s="77" t="s">
        <v>106</v>
      </c>
      <c r="AI20" s="77" t="s">
        <v>54</v>
      </c>
      <c r="AJ20" s="94" t="s">
        <v>107</v>
      </c>
      <c r="AK20" s="79">
        <v>20.0</v>
      </c>
      <c r="AL20" s="80">
        <f t="shared" si="8"/>
        <v>20</v>
      </c>
      <c r="AM20" s="72">
        <v>0.0</v>
      </c>
      <c r="AN20" s="72">
        <v>0.0</v>
      </c>
      <c r="AO20" s="72">
        <v>0.0</v>
      </c>
      <c r="AP20" s="72">
        <v>0.0</v>
      </c>
      <c r="AQ20" s="72">
        <v>0.0</v>
      </c>
      <c r="AR20" s="86" t="s">
        <v>90</v>
      </c>
      <c r="AT20" s="76" t="s">
        <v>103</v>
      </c>
      <c r="AU20" s="6"/>
      <c r="AV20" s="6"/>
      <c r="AW20" s="24"/>
      <c r="AX20" s="83">
        <v>20.0</v>
      </c>
      <c r="AY20" s="80">
        <f t="shared" si="9"/>
        <v>20</v>
      </c>
      <c r="AZ20" s="72">
        <v>0.0</v>
      </c>
      <c r="BA20" s="72">
        <v>0.0</v>
      </c>
      <c r="BB20" s="72">
        <v>0.0</v>
      </c>
      <c r="BC20" s="72">
        <v>0.0</v>
      </c>
      <c r="BD20" s="84">
        <v>0.0</v>
      </c>
      <c r="BE20" s="86" t="s">
        <v>90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</row>
    <row r="21">
      <c r="A21" s="73" t="s">
        <v>108</v>
      </c>
      <c r="C21" s="74">
        <v>10.0</v>
      </c>
      <c r="D21" s="75"/>
      <c r="E21" s="76" t="s">
        <v>109</v>
      </c>
      <c r="F21" s="77" t="s">
        <v>110</v>
      </c>
      <c r="G21" s="77" t="s">
        <v>53</v>
      </c>
      <c r="H21" s="78">
        <v>46219.0</v>
      </c>
      <c r="I21" s="83">
        <v>20.0</v>
      </c>
      <c r="J21" s="80">
        <f t="shared" si="6"/>
        <v>0</v>
      </c>
      <c r="K21" s="81">
        <v>18.0</v>
      </c>
      <c r="L21" s="72">
        <v>0.0</v>
      </c>
      <c r="M21" s="72">
        <v>0.0</v>
      </c>
      <c r="N21" s="72">
        <v>0.0</v>
      </c>
      <c r="O21" s="81">
        <v>2.0</v>
      </c>
      <c r="P21" s="32" t="s">
        <v>40</v>
      </c>
      <c r="T21" s="76" t="s">
        <v>109</v>
      </c>
      <c r="U21" s="77" t="s">
        <v>111</v>
      </c>
      <c r="V21" s="77" t="s">
        <v>54</v>
      </c>
      <c r="W21" s="82">
        <v>46239.0</v>
      </c>
      <c r="X21" s="83">
        <v>20.0</v>
      </c>
      <c r="Y21" s="80">
        <f t="shared" si="7"/>
        <v>20</v>
      </c>
      <c r="Z21" s="72">
        <v>0.0</v>
      </c>
      <c r="AA21" s="72">
        <v>0.0</v>
      </c>
      <c r="AB21" s="72">
        <v>0.0</v>
      </c>
      <c r="AC21" s="72">
        <v>0.0</v>
      </c>
      <c r="AD21" s="84">
        <v>0.0</v>
      </c>
      <c r="AE21" s="33" t="s">
        <v>90</v>
      </c>
      <c r="AG21" s="76" t="s">
        <v>109</v>
      </c>
      <c r="AH21" s="77" t="s">
        <v>112</v>
      </c>
      <c r="AI21" s="77" t="s">
        <v>53</v>
      </c>
      <c r="AJ21" s="94" t="s">
        <v>113</v>
      </c>
      <c r="AK21" s="79">
        <v>20.0</v>
      </c>
      <c r="AL21" s="80">
        <f t="shared" si="8"/>
        <v>20</v>
      </c>
      <c r="AM21" s="72">
        <v>0.0</v>
      </c>
      <c r="AN21" s="72">
        <v>0.0</v>
      </c>
      <c r="AO21" s="72">
        <v>0.0</v>
      </c>
      <c r="AP21" s="72">
        <v>0.0</v>
      </c>
      <c r="AQ21" s="72">
        <v>0.0</v>
      </c>
      <c r="AR21" s="86" t="s">
        <v>90</v>
      </c>
      <c r="AT21" s="76" t="s">
        <v>109</v>
      </c>
      <c r="AU21" s="6"/>
      <c r="AV21" s="6"/>
      <c r="AW21" s="24"/>
      <c r="AX21" s="83">
        <v>20.0</v>
      </c>
      <c r="AY21" s="80">
        <f t="shared" si="9"/>
        <v>20</v>
      </c>
      <c r="AZ21" s="72">
        <v>0.0</v>
      </c>
      <c r="BA21" s="72">
        <v>0.0</v>
      </c>
      <c r="BB21" s="72">
        <v>0.0</v>
      </c>
      <c r="BC21" s="72">
        <v>0.0</v>
      </c>
      <c r="BD21" s="72">
        <v>0.0</v>
      </c>
      <c r="BE21" s="86" t="s">
        <v>90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</row>
    <row r="22">
      <c r="A22" s="73" t="s">
        <v>114</v>
      </c>
      <c r="C22" s="74">
        <v>10.0</v>
      </c>
      <c r="D22" s="75"/>
      <c r="E22" s="76" t="s">
        <v>115</v>
      </c>
      <c r="F22" s="77" t="s">
        <v>108</v>
      </c>
      <c r="G22" s="77" t="s">
        <v>54</v>
      </c>
      <c r="H22" s="78">
        <v>46220.0</v>
      </c>
      <c r="I22" s="83">
        <v>20.0</v>
      </c>
      <c r="J22" s="80">
        <f t="shared" si="6"/>
        <v>0</v>
      </c>
      <c r="K22" s="81">
        <v>0.0</v>
      </c>
      <c r="L22" s="81">
        <v>10.0</v>
      </c>
      <c r="M22" s="81">
        <v>6.0</v>
      </c>
      <c r="N22" s="81">
        <v>0.0</v>
      </c>
      <c r="O22" s="81">
        <v>4.0</v>
      </c>
      <c r="P22" s="32" t="s">
        <v>40</v>
      </c>
      <c r="T22" s="76" t="s">
        <v>115</v>
      </c>
      <c r="U22" s="77" t="s">
        <v>116</v>
      </c>
      <c r="V22" s="77" t="s">
        <v>47</v>
      </c>
      <c r="W22" s="82">
        <v>46239.0</v>
      </c>
      <c r="X22" s="83">
        <v>20.0</v>
      </c>
      <c r="Y22" s="80">
        <f t="shared" si="7"/>
        <v>20</v>
      </c>
      <c r="Z22" s="72">
        <v>0.0</v>
      </c>
      <c r="AA22" s="72">
        <v>0.0</v>
      </c>
      <c r="AB22" s="72">
        <v>0.0</v>
      </c>
      <c r="AC22" s="72">
        <v>0.0</v>
      </c>
      <c r="AD22" s="84">
        <v>0.0</v>
      </c>
      <c r="AE22" s="33" t="s">
        <v>90</v>
      </c>
      <c r="AG22" s="76" t="s">
        <v>115</v>
      </c>
      <c r="AH22" s="77" t="s">
        <v>117</v>
      </c>
      <c r="AI22" s="77" t="s">
        <v>54</v>
      </c>
      <c r="AJ22" s="94" t="s">
        <v>118</v>
      </c>
      <c r="AK22" s="79">
        <v>20.0</v>
      </c>
      <c r="AL22" s="80">
        <f t="shared" si="8"/>
        <v>20</v>
      </c>
      <c r="AM22" s="72">
        <v>0.0</v>
      </c>
      <c r="AN22" s="72">
        <v>0.0</v>
      </c>
      <c r="AO22" s="72">
        <v>0.0</v>
      </c>
      <c r="AP22" s="72">
        <v>0.0</v>
      </c>
      <c r="AQ22" s="72">
        <v>0.0</v>
      </c>
      <c r="AR22" s="86" t="s">
        <v>90</v>
      </c>
      <c r="AT22" s="76" t="s">
        <v>115</v>
      </c>
      <c r="AU22" s="6"/>
      <c r="AV22" s="6"/>
      <c r="AW22" s="24"/>
      <c r="AX22" s="83">
        <v>20.0</v>
      </c>
      <c r="AY22" s="80">
        <f t="shared" si="9"/>
        <v>20</v>
      </c>
      <c r="AZ22" s="72">
        <v>0.0</v>
      </c>
      <c r="BA22" s="72">
        <v>0.0</v>
      </c>
      <c r="BB22" s="72">
        <v>0.0</v>
      </c>
      <c r="BC22" s="72">
        <v>0.0</v>
      </c>
      <c r="BD22" s="72">
        <v>0.0</v>
      </c>
      <c r="BE22" s="86" t="s">
        <v>90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</row>
    <row r="23">
      <c r="A23" s="73" t="s">
        <v>94</v>
      </c>
      <c r="C23" s="74">
        <v>10.0</v>
      </c>
      <c r="D23" s="75"/>
      <c r="E23" s="95" t="s">
        <v>119</v>
      </c>
      <c r="F23" s="77" t="s">
        <v>114</v>
      </c>
      <c r="G23" s="77" t="s">
        <v>47</v>
      </c>
      <c r="H23" s="78">
        <v>46220.0</v>
      </c>
      <c r="I23" s="83">
        <v>20.0</v>
      </c>
      <c r="J23" s="80">
        <f t="shared" si="6"/>
        <v>0</v>
      </c>
      <c r="K23" s="81">
        <v>0.0</v>
      </c>
      <c r="L23" s="81">
        <v>10.0</v>
      </c>
      <c r="M23" s="81">
        <v>6.0</v>
      </c>
      <c r="N23" s="81">
        <v>4.0</v>
      </c>
      <c r="O23" s="81">
        <v>0.0</v>
      </c>
      <c r="P23" s="32" t="s">
        <v>40</v>
      </c>
      <c r="T23" s="76" t="s">
        <v>119</v>
      </c>
      <c r="U23" s="77" t="s">
        <v>120</v>
      </c>
      <c r="V23" s="77" t="s">
        <v>54</v>
      </c>
      <c r="W23" s="82">
        <v>46240.0</v>
      </c>
      <c r="X23" s="83">
        <v>20.0</v>
      </c>
      <c r="Y23" s="80">
        <f t="shared" si="7"/>
        <v>20</v>
      </c>
      <c r="Z23" s="72">
        <v>0.0</v>
      </c>
      <c r="AA23" s="72">
        <v>0.0</v>
      </c>
      <c r="AB23" s="72">
        <v>0.0</v>
      </c>
      <c r="AC23" s="72">
        <v>0.0</v>
      </c>
      <c r="AD23" s="84">
        <v>0.0</v>
      </c>
      <c r="AE23" s="33" t="s">
        <v>90</v>
      </c>
      <c r="AG23" s="76" t="s">
        <v>119</v>
      </c>
      <c r="AH23" s="77" t="s">
        <v>121</v>
      </c>
      <c r="AI23" s="77" t="s">
        <v>47</v>
      </c>
      <c r="AJ23" s="94" t="s">
        <v>118</v>
      </c>
      <c r="AK23" s="79">
        <v>20.0</v>
      </c>
      <c r="AL23" s="80">
        <f t="shared" si="8"/>
        <v>20</v>
      </c>
      <c r="AM23" s="72">
        <v>0.0</v>
      </c>
      <c r="AN23" s="72">
        <v>0.0</v>
      </c>
      <c r="AO23" s="72">
        <v>0.0</v>
      </c>
      <c r="AP23" s="72">
        <v>0.0</v>
      </c>
      <c r="AQ23" s="72">
        <v>0.0</v>
      </c>
      <c r="AR23" s="86" t="s">
        <v>90</v>
      </c>
      <c r="AT23" s="76" t="s">
        <v>119</v>
      </c>
      <c r="AU23" s="6"/>
      <c r="AV23" s="6"/>
      <c r="AW23" s="24"/>
      <c r="AX23" s="83">
        <v>20.0</v>
      </c>
      <c r="AY23" s="80">
        <f t="shared" si="9"/>
        <v>20</v>
      </c>
      <c r="AZ23" s="72">
        <v>0.0</v>
      </c>
      <c r="BA23" s="72">
        <v>0.0</v>
      </c>
      <c r="BB23" s="72">
        <v>0.0</v>
      </c>
      <c r="BC23" s="72">
        <v>0.0</v>
      </c>
      <c r="BD23" s="72">
        <v>0.0</v>
      </c>
      <c r="BE23" s="86" t="s">
        <v>90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</row>
    <row r="24">
      <c r="A24" s="93" t="s">
        <v>104</v>
      </c>
      <c r="C24" s="74">
        <v>10.0</v>
      </c>
      <c r="D24" s="75"/>
      <c r="E24" s="95" t="s">
        <v>122</v>
      </c>
      <c r="F24" s="77" t="s">
        <v>123</v>
      </c>
      <c r="G24" s="77" t="s">
        <v>54</v>
      </c>
      <c r="H24" s="78">
        <v>46220.0</v>
      </c>
      <c r="I24" s="96">
        <v>20.0</v>
      </c>
      <c r="J24" s="97">
        <f t="shared" si="6"/>
        <v>0</v>
      </c>
      <c r="K24" s="81">
        <v>0.0</v>
      </c>
      <c r="L24" s="81">
        <v>0.0</v>
      </c>
      <c r="M24" s="81">
        <v>10.0</v>
      </c>
      <c r="N24" s="81">
        <v>6.0</v>
      </c>
      <c r="O24" s="81">
        <v>4.0</v>
      </c>
      <c r="P24" s="32" t="s">
        <v>40</v>
      </c>
      <c r="T24" s="76" t="s">
        <v>122</v>
      </c>
      <c r="U24" s="77" t="s">
        <v>124</v>
      </c>
      <c r="V24" s="77" t="s">
        <v>53</v>
      </c>
      <c r="W24" s="82">
        <v>46240.0</v>
      </c>
      <c r="X24" s="83">
        <v>20.0</v>
      </c>
      <c r="Y24" s="80">
        <f t="shared" si="7"/>
        <v>20</v>
      </c>
      <c r="Z24" s="72">
        <v>0.0</v>
      </c>
      <c r="AA24" s="72">
        <v>0.0</v>
      </c>
      <c r="AB24" s="72">
        <v>0.0</v>
      </c>
      <c r="AC24" s="72">
        <v>0.0</v>
      </c>
      <c r="AD24" s="84">
        <v>0.0</v>
      </c>
      <c r="AE24" s="33" t="s">
        <v>90</v>
      </c>
      <c r="AG24" s="98"/>
      <c r="AH24" s="6"/>
      <c r="AI24" s="6"/>
      <c r="AJ24" s="24"/>
      <c r="AK24" s="99"/>
      <c r="AL24" s="97"/>
      <c r="AM24" s="72">
        <v>0.0</v>
      </c>
      <c r="AN24" s="72">
        <v>0.0</v>
      </c>
      <c r="AO24" s="72">
        <v>0.0</v>
      </c>
      <c r="AP24" s="72">
        <v>0.0</v>
      </c>
      <c r="AQ24" s="72">
        <v>0.0</v>
      </c>
      <c r="AR24" s="86" t="s">
        <v>90</v>
      </c>
      <c r="AT24" s="76" t="s">
        <v>122</v>
      </c>
      <c r="AU24" s="6"/>
      <c r="AV24" s="6"/>
      <c r="AW24" s="24"/>
      <c r="AX24" s="83">
        <v>20.0</v>
      </c>
      <c r="AY24" s="80">
        <f t="shared" si="9"/>
        <v>20</v>
      </c>
      <c r="AZ24" s="72">
        <v>0.0</v>
      </c>
      <c r="BA24" s="72">
        <v>0.0</v>
      </c>
      <c r="BB24" s="72">
        <v>0.0</v>
      </c>
      <c r="BC24" s="72">
        <v>0.0</v>
      </c>
      <c r="BD24" s="72">
        <v>0.0</v>
      </c>
      <c r="BE24" s="86" t="s">
        <v>90</v>
      </c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</row>
    <row r="25">
      <c r="A25" s="93" t="s">
        <v>123</v>
      </c>
      <c r="C25" s="74">
        <v>10.0</v>
      </c>
      <c r="D25" s="75"/>
      <c r="E25" s="98"/>
      <c r="F25" s="6"/>
      <c r="G25" s="6"/>
      <c r="H25" s="24"/>
      <c r="I25" s="100"/>
      <c r="J25" s="97"/>
      <c r="K25" s="72">
        <v>0.0</v>
      </c>
      <c r="L25" s="72">
        <v>0.0</v>
      </c>
      <c r="M25" s="72">
        <v>0.0</v>
      </c>
      <c r="N25" s="72">
        <v>0.0</v>
      </c>
      <c r="O25" s="72">
        <v>0.0</v>
      </c>
      <c r="P25" s="101"/>
      <c r="T25" s="76" t="s">
        <v>125</v>
      </c>
      <c r="U25" s="77" t="s">
        <v>126</v>
      </c>
      <c r="V25" s="77" t="s">
        <v>54</v>
      </c>
      <c r="W25" s="82">
        <v>46241.0</v>
      </c>
      <c r="X25" s="83">
        <v>20.0</v>
      </c>
      <c r="Y25" s="80">
        <f t="shared" si="7"/>
        <v>20</v>
      </c>
      <c r="Z25" s="72">
        <v>0.0</v>
      </c>
      <c r="AA25" s="72">
        <v>0.0</v>
      </c>
      <c r="AB25" s="72">
        <v>0.0</v>
      </c>
      <c r="AC25" s="72">
        <v>0.0</v>
      </c>
      <c r="AD25" s="84">
        <v>0.0</v>
      </c>
      <c r="AE25" s="33" t="s">
        <v>90</v>
      </c>
      <c r="AG25" s="98"/>
      <c r="AH25" s="6"/>
      <c r="AI25" s="6"/>
      <c r="AJ25" s="24"/>
      <c r="AK25" s="99"/>
      <c r="AL25" s="97"/>
      <c r="AM25" s="72">
        <v>0.0</v>
      </c>
      <c r="AN25" s="72">
        <v>0.0</v>
      </c>
      <c r="AO25" s="72">
        <v>0.0</v>
      </c>
      <c r="AP25" s="72">
        <v>0.0</v>
      </c>
      <c r="AQ25" s="72">
        <v>0.0</v>
      </c>
      <c r="AR25" s="86" t="s">
        <v>90</v>
      </c>
      <c r="AT25" s="76" t="s">
        <v>125</v>
      </c>
      <c r="AU25" s="6"/>
      <c r="AV25" s="6"/>
      <c r="AW25" s="24"/>
      <c r="AX25" s="83">
        <v>20.0</v>
      </c>
      <c r="AY25" s="80">
        <f t="shared" si="9"/>
        <v>20</v>
      </c>
      <c r="AZ25" s="72">
        <v>0.0</v>
      </c>
      <c r="BA25" s="72">
        <v>0.0</v>
      </c>
      <c r="BB25" s="72">
        <v>0.0</v>
      </c>
      <c r="BC25" s="72">
        <v>0.0</v>
      </c>
      <c r="BD25" s="72">
        <v>0.0</v>
      </c>
      <c r="BE25" s="86" t="s">
        <v>90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</row>
    <row r="26">
      <c r="A26" s="93" t="s">
        <v>127</v>
      </c>
      <c r="C26" s="74">
        <v>5.0</v>
      </c>
      <c r="D26" s="75"/>
      <c r="E26" s="98"/>
      <c r="F26" s="6"/>
      <c r="G26" s="6"/>
      <c r="H26" s="24"/>
      <c r="I26" s="100"/>
      <c r="J26" s="97"/>
      <c r="K26" s="72">
        <v>0.0</v>
      </c>
      <c r="L26" s="72">
        <v>0.0</v>
      </c>
      <c r="M26" s="72">
        <v>0.0</v>
      </c>
      <c r="N26" s="72">
        <v>0.0</v>
      </c>
      <c r="O26" s="72">
        <v>0.0</v>
      </c>
      <c r="P26" s="101"/>
      <c r="T26" s="76" t="s">
        <v>128</v>
      </c>
      <c r="U26" s="77" t="s">
        <v>129</v>
      </c>
      <c r="V26" s="77" t="s">
        <v>47</v>
      </c>
      <c r="W26" s="82">
        <v>46241.0</v>
      </c>
      <c r="X26" s="83">
        <v>20.0</v>
      </c>
      <c r="Y26" s="80">
        <f t="shared" si="7"/>
        <v>20</v>
      </c>
      <c r="Z26" s="72">
        <v>0.0</v>
      </c>
      <c r="AA26" s="72">
        <v>0.0</v>
      </c>
      <c r="AB26" s="72">
        <v>0.0</v>
      </c>
      <c r="AC26" s="72">
        <v>0.0</v>
      </c>
      <c r="AD26" s="84">
        <v>0.0</v>
      </c>
      <c r="AE26" s="33" t="s">
        <v>90</v>
      </c>
      <c r="AG26" s="98"/>
      <c r="AH26" s="6"/>
      <c r="AI26" s="6"/>
      <c r="AJ26" s="24"/>
      <c r="AK26" s="99"/>
      <c r="AL26" s="97"/>
      <c r="AM26" s="72">
        <v>0.0</v>
      </c>
      <c r="AN26" s="72">
        <v>0.0</v>
      </c>
      <c r="AO26" s="72">
        <v>0.0</v>
      </c>
      <c r="AP26" s="72">
        <v>0.0</v>
      </c>
      <c r="AQ26" s="72">
        <v>0.0</v>
      </c>
      <c r="AR26" s="86" t="s">
        <v>90</v>
      </c>
      <c r="AT26" s="76" t="s">
        <v>128</v>
      </c>
      <c r="AU26" s="6"/>
      <c r="AV26" s="6"/>
      <c r="AW26" s="24"/>
      <c r="AX26" s="83">
        <v>20.0</v>
      </c>
      <c r="AY26" s="80">
        <f t="shared" si="9"/>
        <v>20</v>
      </c>
      <c r="AZ26" s="72">
        <v>0.0</v>
      </c>
      <c r="BA26" s="72">
        <v>0.0</v>
      </c>
      <c r="BB26" s="72">
        <v>0.0</v>
      </c>
      <c r="BC26" s="72">
        <v>0.0</v>
      </c>
      <c r="BD26" s="72">
        <v>0.0</v>
      </c>
      <c r="BE26" s="86" t="s">
        <v>90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</row>
    <row r="27">
      <c r="A27" s="93" t="s">
        <v>130</v>
      </c>
      <c r="C27" s="74">
        <v>5.0</v>
      </c>
      <c r="D27" s="75"/>
      <c r="E27" s="6"/>
      <c r="F27" s="6"/>
      <c r="G27" s="6"/>
      <c r="H27" s="6"/>
      <c r="I27" s="102">
        <f>SUM(I17:I26)</f>
        <v>160</v>
      </c>
      <c r="J27" s="100"/>
      <c r="K27" s="103">
        <f t="shared" ref="K27:O27" si="11">SUM(K17:K26)</f>
        <v>80</v>
      </c>
      <c r="L27" s="103">
        <f t="shared" si="11"/>
        <v>20</v>
      </c>
      <c r="M27" s="103">
        <f t="shared" si="11"/>
        <v>22</v>
      </c>
      <c r="N27" s="103">
        <f t="shared" si="11"/>
        <v>16</v>
      </c>
      <c r="O27" s="103">
        <f t="shared" si="11"/>
        <v>22</v>
      </c>
      <c r="P27" s="6"/>
      <c r="T27" s="6"/>
      <c r="U27" s="6"/>
      <c r="V27" s="6"/>
      <c r="W27" s="6"/>
      <c r="X27" s="102">
        <f>SUM(X17:X26)</f>
        <v>200</v>
      </c>
      <c r="Y27" s="100"/>
      <c r="Z27" s="103">
        <f t="shared" ref="Z27:AD27" si="12">SUM(Z17:Z26)</f>
        <v>0</v>
      </c>
      <c r="AA27" s="103">
        <f t="shared" si="12"/>
        <v>0</v>
      </c>
      <c r="AB27" s="103">
        <f t="shared" si="12"/>
        <v>0</v>
      </c>
      <c r="AC27" s="103">
        <f t="shared" si="12"/>
        <v>0</v>
      </c>
      <c r="AD27" s="103">
        <f t="shared" si="12"/>
        <v>0</v>
      </c>
      <c r="AE27" s="6"/>
      <c r="AG27" s="6"/>
      <c r="AH27" s="6"/>
      <c r="AI27" s="6"/>
      <c r="AJ27" s="6"/>
      <c r="AK27" s="102">
        <f>SUM(AK17:AK26)</f>
        <v>140</v>
      </c>
      <c r="AL27" s="100"/>
      <c r="AM27" s="103">
        <f t="shared" ref="AM27:AQ27" si="13">SUM(AM17:AM26)</f>
        <v>0</v>
      </c>
      <c r="AN27" s="103">
        <f t="shared" si="13"/>
        <v>0</v>
      </c>
      <c r="AO27" s="103">
        <f t="shared" si="13"/>
        <v>0</v>
      </c>
      <c r="AP27" s="103">
        <f t="shared" si="13"/>
        <v>0</v>
      </c>
      <c r="AQ27" s="103">
        <f t="shared" si="13"/>
        <v>0</v>
      </c>
      <c r="AR27" s="6"/>
      <c r="AT27" s="6"/>
      <c r="AU27" s="6"/>
      <c r="AV27" s="6"/>
      <c r="AW27" s="6"/>
      <c r="AX27" s="102">
        <f>SUM(AX17:AX26)</f>
        <v>200</v>
      </c>
      <c r="AY27" s="100"/>
      <c r="AZ27" s="103">
        <f t="shared" ref="AZ27:BD27" si="14">SUM(AZ17:AZ26)</f>
        <v>0</v>
      </c>
      <c r="BA27" s="103">
        <f t="shared" si="14"/>
        <v>0</v>
      </c>
      <c r="BB27" s="103">
        <f t="shared" si="14"/>
        <v>0</v>
      </c>
      <c r="BC27" s="103">
        <f t="shared" si="14"/>
        <v>0</v>
      </c>
      <c r="BD27" s="103">
        <f t="shared" si="14"/>
        <v>0</v>
      </c>
      <c r="BE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</row>
    <row r="28">
      <c r="A28" s="93" t="s">
        <v>131</v>
      </c>
      <c r="C28" s="104">
        <v>10.0</v>
      </c>
      <c r="E28" s="6"/>
      <c r="F28" s="6"/>
      <c r="G28" s="6"/>
      <c r="H28" s="105" t="s">
        <v>132</v>
      </c>
      <c r="I28" s="106">
        <f>SUM(K27:O27)</f>
        <v>160</v>
      </c>
      <c r="P28" s="6"/>
      <c r="T28" s="6"/>
      <c r="U28" s="6"/>
      <c r="V28" s="6"/>
      <c r="W28" s="105" t="s">
        <v>132</v>
      </c>
      <c r="X28" s="106">
        <f>SUM(Z27:AD27)</f>
        <v>0</v>
      </c>
      <c r="AE28" s="6"/>
      <c r="AG28" s="6"/>
      <c r="AH28" s="6"/>
      <c r="AI28" s="6"/>
      <c r="AJ28" s="105" t="s">
        <v>132</v>
      </c>
      <c r="AK28" s="106">
        <f>SUM(AM27:AQ27)</f>
        <v>0</v>
      </c>
      <c r="AR28" s="6"/>
      <c r="AT28" s="6"/>
      <c r="AU28" s="6"/>
      <c r="AV28" s="6"/>
      <c r="AW28" s="105" t="s">
        <v>132</v>
      </c>
      <c r="AX28" s="106">
        <f>SUM(AZ27:BD27)</f>
        <v>0</v>
      </c>
      <c r="BE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</row>
    <row r="29">
      <c r="A29" s="93" t="s">
        <v>133</v>
      </c>
      <c r="C29" s="104">
        <v>10.0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</row>
    <row r="30">
      <c r="A30" s="93" t="s">
        <v>134</v>
      </c>
      <c r="C30" s="104">
        <v>15.0</v>
      </c>
      <c r="E30" s="107" t="s">
        <v>135</v>
      </c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45"/>
      <c r="T30" s="107" t="s">
        <v>135</v>
      </c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45"/>
      <c r="AG30" s="107" t="s">
        <v>135</v>
      </c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45"/>
      <c r="AT30" s="107" t="s">
        <v>135</v>
      </c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45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</row>
    <row r="31">
      <c r="A31" s="93" t="s">
        <v>136</v>
      </c>
      <c r="C31" s="104">
        <v>10.0</v>
      </c>
      <c r="E31" s="109" t="s">
        <v>74</v>
      </c>
      <c r="F31" s="110" t="s">
        <v>75</v>
      </c>
      <c r="G31" s="111" t="s">
        <v>76</v>
      </c>
      <c r="H31" s="111" t="s">
        <v>77</v>
      </c>
      <c r="I31" s="111" t="s">
        <v>0</v>
      </c>
      <c r="J31" s="111" t="s">
        <v>78</v>
      </c>
      <c r="K31" s="111" t="s">
        <v>79</v>
      </c>
      <c r="L31" s="111" t="s">
        <v>80</v>
      </c>
      <c r="M31" s="111" t="s">
        <v>81</v>
      </c>
      <c r="N31" s="111" t="s">
        <v>82</v>
      </c>
      <c r="O31" s="111" t="s">
        <v>83</v>
      </c>
      <c r="P31" s="111" t="s">
        <v>37</v>
      </c>
      <c r="T31" s="109" t="s">
        <v>74</v>
      </c>
      <c r="U31" s="109" t="s">
        <v>84</v>
      </c>
      <c r="V31" s="111" t="s">
        <v>76</v>
      </c>
      <c r="W31" s="111" t="s">
        <v>77</v>
      </c>
      <c r="X31" s="111" t="s">
        <v>0</v>
      </c>
      <c r="Y31" s="111" t="s">
        <v>78</v>
      </c>
      <c r="Z31" s="111" t="s">
        <v>79</v>
      </c>
      <c r="AA31" s="111" t="s">
        <v>80</v>
      </c>
      <c r="AB31" s="111" t="s">
        <v>81</v>
      </c>
      <c r="AC31" s="111" t="s">
        <v>82</v>
      </c>
      <c r="AD31" s="111" t="s">
        <v>83</v>
      </c>
      <c r="AE31" s="111" t="s">
        <v>37</v>
      </c>
      <c r="AG31" s="65" t="s">
        <v>74</v>
      </c>
      <c r="AH31" s="65" t="s">
        <v>84</v>
      </c>
      <c r="AI31" s="67" t="s">
        <v>76</v>
      </c>
      <c r="AJ31" s="67" t="s">
        <v>77</v>
      </c>
      <c r="AK31" s="67" t="s">
        <v>0</v>
      </c>
      <c r="AL31" s="67" t="s">
        <v>78</v>
      </c>
      <c r="AM31" s="67" t="s">
        <v>79</v>
      </c>
      <c r="AN31" s="67" t="s">
        <v>80</v>
      </c>
      <c r="AO31" s="67" t="s">
        <v>81</v>
      </c>
      <c r="AP31" s="67" t="s">
        <v>82</v>
      </c>
      <c r="AQ31" s="67" t="s">
        <v>83</v>
      </c>
      <c r="AR31" s="67" t="s">
        <v>37</v>
      </c>
      <c r="AT31" s="65" t="s">
        <v>74</v>
      </c>
      <c r="AU31" s="65" t="s">
        <v>84</v>
      </c>
      <c r="AV31" s="67" t="s">
        <v>76</v>
      </c>
      <c r="AW31" s="67" t="s">
        <v>77</v>
      </c>
      <c r="AX31" s="67" t="s">
        <v>0</v>
      </c>
      <c r="AY31" s="67" t="s">
        <v>78</v>
      </c>
      <c r="AZ31" s="67" t="s">
        <v>79</v>
      </c>
      <c r="BA31" s="67" t="s">
        <v>80</v>
      </c>
      <c r="BB31" s="67" t="s">
        <v>81</v>
      </c>
      <c r="BC31" s="67" t="s">
        <v>82</v>
      </c>
      <c r="BD31" s="67" t="s">
        <v>83</v>
      </c>
      <c r="BE31" s="67" t="s">
        <v>37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</row>
    <row r="32">
      <c r="A32" s="93" t="s">
        <v>110</v>
      </c>
      <c r="C32" s="104">
        <v>10.0</v>
      </c>
      <c r="E32" s="76" t="s">
        <v>137</v>
      </c>
      <c r="F32" s="77" t="s">
        <v>127</v>
      </c>
      <c r="G32" s="77" t="s">
        <v>54</v>
      </c>
      <c r="H32" s="78">
        <v>46223.0</v>
      </c>
      <c r="I32" s="83">
        <v>20.0</v>
      </c>
      <c r="J32" s="80">
        <f t="shared" ref="J32:J40" si="15">(I32-(K32+L32+M32+N32+O32))</f>
        <v>2</v>
      </c>
      <c r="K32" s="81">
        <v>16.0</v>
      </c>
      <c r="L32" s="81">
        <v>0.0</v>
      </c>
      <c r="M32" s="81">
        <v>2.0</v>
      </c>
      <c r="N32" s="72">
        <v>0.0</v>
      </c>
      <c r="O32" s="72">
        <v>0.0</v>
      </c>
      <c r="P32" s="33" t="s">
        <v>31</v>
      </c>
      <c r="T32" s="68" t="s">
        <v>87</v>
      </c>
      <c r="U32" s="77" t="s">
        <v>138</v>
      </c>
      <c r="V32" s="77" t="s">
        <v>54</v>
      </c>
      <c r="W32" s="82">
        <v>46245.0</v>
      </c>
      <c r="X32" s="83">
        <v>20.0</v>
      </c>
      <c r="Y32" s="80">
        <f t="shared" ref="Y32:Y41" si="16">(X32-(Z32+AA32+AB32+AC32+AD32))</f>
        <v>20</v>
      </c>
      <c r="Z32" s="72">
        <v>0.0</v>
      </c>
      <c r="AA32" s="72">
        <v>0.0</v>
      </c>
      <c r="AB32" s="72">
        <v>0.0</v>
      </c>
      <c r="AC32" s="72">
        <v>0.0</v>
      </c>
      <c r="AD32" s="72">
        <v>0.0</v>
      </c>
      <c r="AE32" s="86" t="s">
        <v>90</v>
      </c>
      <c r="AG32" s="76" t="s">
        <v>137</v>
      </c>
      <c r="AH32" s="77" t="s">
        <v>139</v>
      </c>
      <c r="AI32" s="77" t="s">
        <v>47</v>
      </c>
      <c r="AJ32" s="94" t="s">
        <v>140</v>
      </c>
      <c r="AK32" s="83">
        <v>20.0</v>
      </c>
      <c r="AL32" s="80">
        <f t="shared" ref="AL32:AL43" si="17">(AK32-(AM32+AN32+AO32+AP32+AQ32))</f>
        <v>20</v>
      </c>
      <c r="AM32" s="72">
        <v>0.0</v>
      </c>
      <c r="AN32" s="72">
        <v>0.0</v>
      </c>
      <c r="AO32" s="72">
        <v>0.0</v>
      </c>
      <c r="AP32" s="72">
        <v>0.0</v>
      </c>
      <c r="AQ32" s="72">
        <v>0.0</v>
      </c>
      <c r="AR32" s="86" t="s">
        <v>90</v>
      </c>
      <c r="AT32" s="76" t="s">
        <v>137</v>
      </c>
      <c r="AU32" s="6"/>
      <c r="AV32" s="6"/>
      <c r="AW32" s="87">
        <v>45838.0</v>
      </c>
      <c r="AX32" s="83">
        <v>20.0</v>
      </c>
      <c r="AY32" s="80">
        <f t="shared" ref="AY32:AY41" si="18">(AX32-(AZ32+BA32+BB32+BC32+BD32))</f>
        <v>20</v>
      </c>
      <c r="AZ32" s="72">
        <v>0.0</v>
      </c>
      <c r="BA32" s="72">
        <v>0.0</v>
      </c>
      <c r="BB32" s="72">
        <v>0.0</v>
      </c>
      <c r="BC32" s="72">
        <v>0.0</v>
      </c>
      <c r="BD32" s="72">
        <v>0.0</v>
      </c>
      <c r="BE32" s="86" t="s">
        <v>90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</row>
    <row r="33">
      <c r="A33" s="112"/>
      <c r="C33" s="112"/>
      <c r="E33" s="76" t="s">
        <v>141</v>
      </c>
      <c r="F33" s="77" t="s">
        <v>142</v>
      </c>
      <c r="G33" s="77" t="s">
        <v>53</v>
      </c>
      <c r="H33" s="78">
        <v>46223.0</v>
      </c>
      <c r="I33" s="83">
        <v>20.0</v>
      </c>
      <c r="J33" s="80">
        <f t="shared" si="15"/>
        <v>20</v>
      </c>
      <c r="K33" s="72">
        <v>0.0</v>
      </c>
      <c r="L33" s="72">
        <v>0.0</v>
      </c>
      <c r="M33" s="72">
        <v>0.0</v>
      </c>
      <c r="N33" s="72">
        <v>0.0</v>
      </c>
      <c r="O33" s="72">
        <v>0.0</v>
      </c>
      <c r="P33" s="113" t="s">
        <v>90</v>
      </c>
      <c r="T33" s="68" t="s">
        <v>93</v>
      </c>
      <c r="U33" s="77" t="s">
        <v>143</v>
      </c>
      <c r="V33" s="77" t="s">
        <v>53</v>
      </c>
      <c r="W33" s="82">
        <v>46245.0</v>
      </c>
      <c r="X33" s="83">
        <v>20.0</v>
      </c>
      <c r="Y33" s="80">
        <f t="shared" si="16"/>
        <v>20</v>
      </c>
      <c r="Z33" s="72">
        <v>0.0</v>
      </c>
      <c r="AA33" s="72">
        <v>0.0</v>
      </c>
      <c r="AB33" s="72">
        <v>0.0</v>
      </c>
      <c r="AC33" s="72">
        <v>0.0</v>
      </c>
      <c r="AD33" s="72">
        <v>0.0</v>
      </c>
      <c r="AE33" s="86" t="s">
        <v>90</v>
      </c>
      <c r="AG33" s="76" t="s">
        <v>141</v>
      </c>
      <c r="AH33" s="77" t="s">
        <v>144</v>
      </c>
      <c r="AI33" s="77" t="s">
        <v>54</v>
      </c>
      <c r="AJ33" s="94" t="s">
        <v>145</v>
      </c>
      <c r="AK33" s="83">
        <v>20.0</v>
      </c>
      <c r="AL33" s="80">
        <f t="shared" si="17"/>
        <v>20</v>
      </c>
      <c r="AM33" s="72">
        <v>0.0</v>
      </c>
      <c r="AN33" s="72">
        <v>0.0</v>
      </c>
      <c r="AO33" s="72">
        <v>0.0</v>
      </c>
      <c r="AP33" s="72">
        <v>0.0</v>
      </c>
      <c r="AQ33" s="72">
        <v>0.0</v>
      </c>
      <c r="AR33" s="86" t="s">
        <v>90</v>
      </c>
      <c r="AT33" s="76" t="s">
        <v>141</v>
      </c>
      <c r="AU33" s="6"/>
      <c r="AV33" s="6"/>
      <c r="AW33" s="24"/>
      <c r="AX33" s="83">
        <v>20.0</v>
      </c>
      <c r="AY33" s="80">
        <f t="shared" si="18"/>
        <v>20</v>
      </c>
      <c r="AZ33" s="72">
        <v>0.0</v>
      </c>
      <c r="BA33" s="72">
        <v>0.0</v>
      </c>
      <c r="BB33" s="72">
        <v>0.0</v>
      </c>
      <c r="BC33" s="84">
        <v>0.0</v>
      </c>
      <c r="BD33" s="72">
        <v>0.0</v>
      </c>
      <c r="BE33" s="86" t="s">
        <v>90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</row>
    <row r="34">
      <c r="A34" s="114" t="s">
        <v>146</v>
      </c>
      <c r="C34" s="104">
        <v>5.0</v>
      </c>
      <c r="E34" s="76" t="s">
        <v>147</v>
      </c>
      <c r="F34" s="77" t="s">
        <v>130</v>
      </c>
      <c r="G34" s="77" t="s">
        <v>54</v>
      </c>
      <c r="H34" s="78">
        <v>46224.0</v>
      </c>
      <c r="I34" s="79">
        <v>20.0</v>
      </c>
      <c r="J34" s="115">
        <f t="shared" si="15"/>
        <v>2</v>
      </c>
      <c r="K34" s="81">
        <v>12.0</v>
      </c>
      <c r="L34" s="81">
        <v>2.0</v>
      </c>
      <c r="M34" s="81">
        <v>4.0</v>
      </c>
      <c r="N34" s="72">
        <v>0.0</v>
      </c>
      <c r="O34" s="72">
        <v>0.0</v>
      </c>
      <c r="P34" s="113" t="s">
        <v>31</v>
      </c>
      <c r="T34" s="76" t="s">
        <v>147</v>
      </c>
      <c r="U34" s="77" t="s">
        <v>148</v>
      </c>
      <c r="V34" s="77" t="s">
        <v>47</v>
      </c>
      <c r="W34" s="82">
        <v>46246.0</v>
      </c>
      <c r="X34" s="83">
        <v>20.0</v>
      </c>
      <c r="Y34" s="80">
        <f t="shared" si="16"/>
        <v>20</v>
      </c>
      <c r="Z34" s="72">
        <v>0.0</v>
      </c>
      <c r="AA34" s="72">
        <v>0.0</v>
      </c>
      <c r="AB34" s="72">
        <v>0.0</v>
      </c>
      <c r="AC34" s="72">
        <v>0.0</v>
      </c>
      <c r="AD34" s="72">
        <v>0.0</v>
      </c>
      <c r="AE34" s="86" t="s">
        <v>90</v>
      </c>
      <c r="AG34" s="76" t="s">
        <v>147</v>
      </c>
      <c r="AH34" s="77" t="s">
        <v>149</v>
      </c>
      <c r="AI34" s="77" t="s">
        <v>53</v>
      </c>
      <c r="AJ34" s="116" t="s">
        <v>145</v>
      </c>
      <c r="AK34" s="83">
        <v>20.0</v>
      </c>
      <c r="AL34" s="80">
        <f t="shared" si="17"/>
        <v>20</v>
      </c>
      <c r="AM34" s="72">
        <v>0.0</v>
      </c>
      <c r="AN34" s="72">
        <v>0.0</v>
      </c>
      <c r="AO34" s="72">
        <v>0.0</v>
      </c>
      <c r="AP34" s="72">
        <v>0.0</v>
      </c>
      <c r="AQ34" s="72">
        <v>0.0</v>
      </c>
      <c r="AR34" s="86" t="s">
        <v>90</v>
      </c>
      <c r="AT34" s="76" t="s">
        <v>147</v>
      </c>
      <c r="AU34" s="6"/>
      <c r="AV34" s="6"/>
      <c r="AW34" s="24"/>
      <c r="AX34" s="83">
        <v>20.0</v>
      </c>
      <c r="AY34" s="80">
        <f t="shared" si="18"/>
        <v>20</v>
      </c>
      <c r="AZ34" s="72">
        <v>0.0</v>
      </c>
      <c r="BA34" s="72">
        <v>0.0</v>
      </c>
      <c r="BB34" s="72">
        <v>0.0</v>
      </c>
      <c r="BC34" s="72">
        <v>0.0</v>
      </c>
      <c r="BD34" s="72">
        <v>0.0</v>
      </c>
      <c r="BE34" s="86" t="s">
        <v>90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</row>
    <row r="35">
      <c r="A35" s="114" t="s">
        <v>150</v>
      </c>
      <c r="C35" s="104">
        <v>10.0</v>
      </c>
      <c r="E35" s="76" t="s">
        <v>151</v>
      </c>
      <c r="F35" s="77" t="s">
        <v>114</v>
      </c>
      <c r="G35" s="77" t="s">
        <v>47</v>
      </c>
      <c r="H35" s="78">
        <v>46224.0</v>
      </c>
      <c r="I35" s="83">
        <v>20.0</v>
      </c>
      <c r="J35" s="80">
        <f t="shared" si="15"/>
        <v>4</v>
      </c>
      <c r="K35" s="81">
        <v>16.0</v>
      </c>
      <c r="L35" s="81">
        <v>0.0</v>
      </c>
      <c r="M35" s="72">
        <v>0.0</v>
      </c>
      <c r="N35" s="72">
        <v>0.0</v>
      </c>
      <c r="O35" s="72">
        <v>0.0</v>
      </c>
      <c r="P35" s="113" t="s">
        <v>31</v>
      </c>
      <c r="T35" s="76" t="s">
        <v>151</v>
      </c>
      <c r="U35" s="77" t="s">
        <v>152</v>
      </c>
      <c r="V35" s="77" t="s">
        <v>54</v>
      </c>
      <c r="W35" s="82">
        <v>46247.0</v>
      </c>
      <c r="X35" s="83">
        <v>20.0</v>
      </c>
      <c r="Y35" s="80">
        <f t="shared" si="16"/>
        <v>20</v>
      </c>
      <c r="Z35" s="72">
        <v>0.0</v>
      </c>
      <c r="AA35" s="72">
        <v>0.0</v>
      </c>
      <c r="AB35" s="72">
        <v>0.0</v>
      </c>
      <c r="AC35" s="72">
        <v>0.0</v>
      </c>
      <c r="AD35" s="72">
        <v>0.0</v>
      </c>
      <c r="AE35" s="86" t="s">
        <v>90</v>
      </c>
      <c r="AG35" s="76" t="s">
        <v>151</v>
      </c>
      <c r="AH35" s="77" t="s">
        <v>153</v>
      </c>
      <c r="AI35" s="77" t="s">
        <v>54</v>
      </c>
      <c r="AJ35" s="116" t="s">
        <v>154</v>
      </c>
      <c r="AK35" s="83">
        <v>20.0</v>
      </c>
      <c r="AL35" s="80">
        <f t="shared" si="17"/>
        <v>20</v>
      </c>
      <c r="AM35" s="72">
        <v>0.0</v>
      </c>
      <c r="AN35" s="72">
        <v>0.0</v>
      </c>
      <c r="AO35" s="72">
        <v>0.0</v>
      </c>
      <c r="AP35" s="72">
        <v>0.0</v>
      </c>
      <c r="AQ35" s="72">
        <v>0.0</v>
      </c>
      <c r="AR35" s="86" t="s">
        <v>90</v>
      </c>
      <c r="AT35" s="76" t="s">
        <v>151</v>
      </c>
      <c r="AU35" s="6"/>
      <c r="AV35" s="6"/>
      <c r="AW35" s="24"/>
      <c r="AX35" s="83">
        <v>20.0</v>
      </c>
      <c r="AY35" s="80">
        <f t="shared" si="18"/>
        <v>20</v>
      </c>
      <c r="AZ35" s="72">
        <v>0.0</v>
      </c>
      <c r="BA35" s="72">
        <v>0.0</v>
      </c>
      <c r="BB35" s="72">
        <v>0.0</v>
      </c>
      <c r="BC35" s="72">
        <v>0.0</v>
      </c>
      <c r="BD35" s="72">
        <v>0.0</v>
      </c>
      <c r="BE35" s="86" t="s">
        <v>90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</row>
    <row r="36">
      <c r="A36" s="114" t="s">
        <v>155</v>
      </c>
      <c r="C36" s="104">
        <v>5.0</v>
      </c>
      <c r="E36" s="76" t="s">
        <v>156</v>
      </c>
      <c r="F36" s="77" t="s">
        <v>131</v>
      </c>
      <c r="G36" s="77" t="s">
        <v>54</v>
      </c>
      <c r="H36" s="78">
        <v>46225.0</v>
      </c>
      <c r="I36" s="79">
        <v>20.0</v>
      </c>
      <c r="J36" s="115">
        <f t="shared" si="15"/>
        <v>18</v>
      </c>
      <c r="K36" s="72">
        <v>0.0</v>
      </c>
      <c r="L36" s="72">
        <v>0.0</v>
      </c>
      <c r="M36" s="81">
        <v>2.0</v>
      </c>
      <c r="N36" s="72">
        <v>0.0</v>
      </c>
      <c r="O36" s="72">
        <v>0.0</v>
      </c>
      <c r="P36" s="32" t="s">
        <v>7</v>
      </c>
      <c r="T36" s="76" t="s">
        <v>156</v>
      </c>
      <c r="U36" s="77" t="s">
        <v>157</v>
      </c>
      <c r="V36" s="77" t="s">
        <v>47</v>
      </c>
      <c r="W36" s="82">
        <v>46247.0</v>
      </c>
      <c r="X36" s="83">
        <v>20.0</v>
      </c>
      <c r="Y36" s="80">
        <f t="shared" si="16"/>
        <v>20</v>
      </c>
      <c r="Z36" s="72">
        <v>0.0</v>
      </c>
      <c r="AA36" s="72">
        <v>0.0</v>
      </c>
      <c r="AB36" s="72">
        <v>0.0</v>
      </c>
      <c r="AC36" s="72">
        <v>0.0</v>
      </c>
      <c r="AD36" s="72">
        <v>0.0</v>
      </c>
      <c r="AE36" s="86" t="s">
        <v>90</v>
      </c>
      <c r="AG36" s="76" t="s">
        <v>156</v>
      </c>
      <c r="AH36" s="77" t="s">
        <v>148</v>
      </c>
      <c r="AI36" s="77" t="s">
        <v>47</v>
      </c>
      <c r="AJ36" s="116" t="s">
        <v>154</v>
      </c>
      <c r="AK36" s="83">
        <v>20.0</v>
      </c>
      <c r="AL36" s="80">
        <f t="shared" si="17"/>
        <v>20</v>
      </c>
      <c r="AM36" s="72">
        <v>0.0</v>
      </c>
      <c r="AN36" s="72">
        <v>0.0</v>
      </c>
      <c r="AO36" s="72">
        <v>0.0</v>
      </c>
      <c r="AP36" s="72">
        <v>0.0</v>
      </c>
      <c r="AQ36" s="72">
        <v>0.0</v>
      </c>
      <c r="AR36" s="86" t="s">
        <v>90</v>
      </c>
      <c r="AT36" s="76" t="s">
        <v>156</v>
      </c>
      <c r="AU36" s="6"/>
      <c r="AV36" s="6"/>
      <c r="AW36" s="24"/>
      <c r="AX36" s="83">
        <v>20.0</v>
      </c>
      <c r="AY36" s="80">
        <f t="shared" si="18"/>
        <v>20</v>
      </c>
      <c r="AZ36" s="72">
        <v>0.0</v>
      </c>
      <c r="BA36" s="72">
        <v>0.0</v>
      </c>
      <c r="BB36" s="72">
        <v>0.0</v>
      </c>
      <c r="BC36" s="72">
        <v>0.0</v>
      </c>
      <c r="BD36" s="72">
        <v>0.0</v>
      </c>
      <c r="BE36" s="86" t="s">
        <v>90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</row>
    <row r="37">
      <c r="A37" s="93" t="s">
        <v>142</v>
      </c>
      <c r="C37" s="104">
        <v>10.0</v>
      </c>
      <c r="E37" s="76" t="s">
        <v>158</v>
      </c>
      <c r="F37" s="77" t="s">
        <v>159</v>
      </c>
      <c r="G37" s="77" t="s">
        <v>53</v>
      </c>
      <c r="H37" s="78">
        <v>46225.0</v>
      </c>
      <c r="I37" s="79">
        <v>20.0</v>
      </c>
      <c r="J37" s="80">
        <f t="shared" si="15"/>
        <v>20</v>
      </c>
      <c r="K37" s="72">
        <v>0.0</v>
      </c>
      <c r="L37" s="72">
        <v>0.0</v>
      </c>
      <c r="M37" s="72">
        <v>0.0</v>
      </c>
      <c r="N37" s="72">
        <v>0.0</v>
      </c>
      <c r="O37" s="72">
        <v>0.0</v>
      </c>
      <c r="P37" s="113" t="s">
        <v>90</v>
      </c>
      <c r="T37" s="76" t="s">
        <v>158</v>
      </c>
      <c r="U37" s="77" t="s">
        <v>160</v>
      </c>
      <c r="V37" s="77" t="s">
        <v>53</v>
      </c>
      <c r="W37" s="82">
        <v>46247.0</v>
      </c>
      <c r="X37" s="83">
        <v>20.0</v>
      </c>
      <c r="Y37" s="80">
        <f t="shared" si="16"/>
        <v>20</v>
      </c>
      <c r="Z37" s="72">
        <v>0.0</v>
      </c>
      <c r="AA37" s="72">
        <v>0.0</v>
      </c>
      <c r="AB37" s="72">
        <v>0.0</v>
      </c>
      <c r="AC37" s="72">
        <v>0.0</v>
      </c>
      <c r="AD37" s="72">
        <v>0.0</v>
      </c>
      <c r="AE37" s="86" t="s">
        <v>90</v>
      </c>
      <c r="AG37" s="76" t="s">
        <v>158</v>
      </c>
      <c r="AH37" s="77" t="s">
        <v>161</v>
      </c>
      <c r="AI37" s="77" t="s">
        <v>47</v>
      </c>
      <c r="AJ37" s="116" t="s">
        <v>162</v>
      </c>
      <c r="AK37" s="83">
        <v>20.0</v>
      </c>
      <c r="AL37" s="80">
        <f t="shared" si="17"/>
        <v>20</v>
      </c>
      <c r="AM37" s="72">
        <v>0.0</v>
      </c>
      <c r="AN37" s="72">
        <v>0.0</v>
      </c>
      <c r="AO37" s="72">
        <v>0.0</v>
      </c>
      <c r="AP37" s="72">
        <v>0.0</v>
      </c>
      <c r="AQ37" s="72">
        <v>0.0</v>
      </c>
      <c r="AR37" s="86" t="s">
        <v>90</v>
      </c>
      <c r="AT37" s="76" t="s">
        <v>158</v>
      </c>
      <c r="AU37" s="6"/>
      <c r="AV37" s="6"/>
      <c r="AW37" s="24"/>
      <c r="AX37" s="83">
        <v>20.0</v>
      </c>
      <c r="AY37" s="80">
        <f t="shared" si="18"/>
        <v>20</v>
      </c>
      <c r="AZ37" s="72">
        <v>0.0</v>
      </c>
      <c r="BA37" s="72">
        <v>0.0</v>
      </c>
      <c r="BB37" s="72">
        <v>0.0</v>
      </c>
      <c r="BC37" s="72">
        <v>0.0</v>
      </c>
      <c r="BD37" s="72">
        <v>0.0</v>
      </c>
      <c r="BE37" s="86" t="s">
        <v>90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</row>
    <row r="38">
      <c r="A38" s="117" t="s">
        <v>159</v>
      </c>
      <c r="C38" s="104">
        <v>10.0</v>
      </c>
      <c r="D38" s="75"/>
      <c r="E38" s="76" t="s">
        <v>163</v>
      </c>
      <c r="F38" s="77" t="s">
        <v>146</v>
      </c>
      <c r="G38" s="77" t="s">
        <v>47</v>
      </c>
      <c r="H38" s="78">
        <v>46226.0</v>
      </c>
      <c r="I38" s="79">
        <v>20.0</v>
      </c>
      <c r="J38" s="80">
        <f t="shared" si="15"/>
        <v>20</v>
      </c>
      <c r="K38" s="72">
        <v>0.0</v>
      </c>
      <c r="L38" s="72">
        <v>0.0</v>
      </c>
      <c r="M38" s="72">
        <v>0.0</v>
      </c>
      <c r="N38" s="72">
        <v>0.0</v>
      </c>
      <c r="O38" s="72">
        <v>0.0</v>
      </c>
      <c r="P38" s="113" t="s">
        <v>90</v>
      </c>
      <c r="T38" s="76" t="s">
        <v>163</v>
      </c>
      <c r="U38" s="6"/>
      <c r="V38" s="6"/>
      <c r="W38" s="24"/>
      <c r="X38" s="83">
        <v>20.0</v>
      </c>
      <c r="Y38" s="80">
        <f t="shared" si="16"/>
        <v>20</v>
      </c>
      <c r="Z38" s="72">
        <v>0.0</v>
      </c>
      <c r="AA38" s="72">
        <v>0.0</v>
      </c>
      <c r="AB38" s="72">
        <v>0.0</v>
      </c>
      <c r="AC38" s="72">
        <v>0.0</v>
      </c>
      <c r="AD38" s="72">
        <v>0.0</v>
      </c>
      <c r="AE38" s="86" t="s">
        <v>90</v>
      </c>
      <c r="AG38" s="76" t="s">
        <v>163</v>
      </c>
      <c r="AH38" s="77" t="s">
        <v>164</v>
      </c>
      <c r="AI38" s="77" t="s">
        <v>54</v>
      </c>
      <c r="AJ38" s="116" t="s">
        <v>165</v>
      </c>
      <c r="AK38" s="83">
        <v>20.0</v>
      </c>
      <c r="AL38" s="80">
        <f t="shared" si="17"/>
        <v>20</v>
      </c>
      <c r="AM38" s="72">
        <v>0.0</v>
      </c>
      <c r="AN38" s="72">
        <v>0.0</v>
      </c>
      <c r="AO38" s="72">
        <v>0.0</v>
      </c>
      <c r="AP38" s="72">
        <v>0.0</v>
      </c>
      <c r="AQ38" s="72">
        <v>0.0</v>
      </c>
      <c r="AR38" s="86" t="s">
        <v>90</v>
      </c>
      <c r="AT38" s="76" t="s">
        <v>163</v>
      </c>
      <c r="AU38" s="6"/>
      <c r="AV38" s="6"/>
      <c r="AW38" s="24"/>
      <c r="AX38" s="83">
        <v>20.0</v>
      </c>
      <c r="AY38" s="80">
        <f t="shared" si="18"/>
        <v>20</v>
      </c>
      <c r="AZ38" s="72">
        <v>0.0</v>
      </c>
      <c r="BA38" s="72">
        <v>0.0</v>
      </c>
      <c r="BB38" s="72">
        <v>0.0</v>
      </c>
      <c r="BC38" s="72">
        <v>0.0</v>
      </c>
      <c r="BD38" s="72">
        <v>0.0</v>
      </c>
      <c r="BE38" s="86" t="s">
        <v>90</v>
      </c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</row>
    <row r="39">
      <c r="A39" s="117" t="s">
        <v>166</v>
      </c>
      <c r="C39" s="104">
        <v>10.0</v>
      </c>
      <c r="D39" s="75"/>
      <c r="E39" s="76" t="s">
        <v>167</v>
      </c>
      <c r="F39" s="77" t="s">
        <v>133</v>
      </c>
      <c r="G39" s="77" t="s">
        <v>54</v>
      </c>
      <c r="H39" s="78">
        <v>46227.0</v>
      </c>
      <c r="I39" s="79">
        <v>20.0</v>
      </c>
      <c r="J39" s="80">
        <f t="shared" si="15"/>
        <v>4</v>
      </c>
      <c r="K39" s="81">
        <v>16.0</v>
      </c>
      <c r="L39" s="81">
        <v>0.0</v>
      </c>
      <c r="M39" s="81">
        <v>0.0</v>
      </c>
      <c r="N39" s="72">
        <v>0.0</v>
      </c>
      <c r="O39" s="72">
        <v>0.0</v>
      </c>
      <c r="P39" s="86" t="s">
        <v>31</v>
      </c>
      <c r="T39" s="76" t="s">
        <v>167</v>
      </c>
      <c r="U39" s="6"/>
      <c r="V39" s="6"/>
      <c r="W39" s="24"/>
      <c r="X39" s="83">
        <v>20.0</v>
      </c>
      <c r="Y39" s="80">
        <f t="shared" si="16"/>
        <v>20</v>
      </c>
      <c r="Z39" s="72">
        <v>0.0</v>
      </c>
      <c r="AA39" s="72">
        <v>0.0</v>
      </c>
      <c r="AB39" s="72">
        <v>0.0</v>
      </c>
      <c r="AC39" s="72">
        <v>0.0</v>
      </c>
      <c r="AD39" s="72">
        <v>0.0</v>
      </c>
      <c r="AE39" s="86" t="s">
        <v>90</v>
      </c>
      <c r="AG39" s="76" t="s">
        <v>167</v>
      </c>
      <c r="AH39" s="77" t="s">
        <v>168</v>
      </c>
      <c r="AI39" s="77" t="s">
        <v>53</v>
      </c>
      <c r="AJ39" s="116" t="s">
        <v>165</v>
      </c>
      <c r="AK39" s="83">
        <v>20.0</v>
      </c>
      <c r="AL39" s="80">
        <f t="shared" si="17"/>
        <v>20</v>
      </c>
      <c r="AM39" s="72">
        <v>0.0</v>
      </c>
      <c r="AN39" s="72">
        <v>0.0</v>
      </c>
      <c r="AO39" s="72">
        <v>0.0</v>
      </c>
      <c r="AP39" s="72">
        <v>0.0</v>
      </c>
      <c r="AQ39" s="72">
        <v>0.0</v>
      </c>
      <c r="AR39" s="86" t="s">
        <v>90</v>
      </c>
      <c r="AT39" s="76" t="s">
        <v>167</v>
      </c>
      <c r="AU39" s="6"/>
      <c r="AV39" s="6"/>
      <c r="AW39" s="24"/>
      <c r="AX39" s="83">
        <v>20.0</v>
      </c>
      <c r="AY39" s="80">
        <f t="shared" si="18"/>
        <v>20</v>
      </c>
      <c r="AZ39" s="72">
        <v>0.0</v>
      </c>
      <c r="BA39" s="72">
        <v>0.0</v>
      </c>
      <c r="BB39" s="72">
        <v>0.0</v>
      </c>
      <c r="BC39" s="72">
        <v>0.0</v>
      </c>
      <c r="BD39" s="72">
        <v>0.0</v>
      </c>
      <c r="BE39" s="86" t="s">
        <v>90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</row>
    <row r="40">
      <c r="A40" s="117" t="s">
        <v>169</v>
      </c>
      <c r="C40" s="104">
        <v>15.0</v>
      </c>
      <c r="D40" s="75"/>
      <c r="E40" s="76" t="s">
        <v>170</v>
      </c>
      <c r="F40" s="77" t="s">
        <v>166</v>
      </c>
      <c r="G40" s="77" t="s">
        <v>53</v>
      </c>
      <c r="H40" s="78">
        <v>46227.0</v>
      </c>
      <c r="I40" s="79">
        <v>20.0</v>
      </c>
      <c r="J40" s="80">
        <f t="shared" si="15"/>
        <v>20</v>
      </c>
      <c r="K40" s="72">
        <v>0.0</v>
      </c>
      <c r="L40" s="72">
        <v>0.0</v>
      </c>
      <c r="M40" s="72">
        <v>0.0</v>
      </c>
      <c r="N40" s="72">
        <v>0.0</v>
      </c>
      <c r="O40" s="72">
        <v>0.0</v>
      </c>
      <c r="P40" s="113" t="s">
        <v>90</v>
      </c>
      <c r="T40" s="76" t="s">
        <v>170</v>
      </c>
      <c r="U40" s="6"/>
      <c r="V40" s="6"/>
      <c r="W40" s="24"/>
      <c r="X40" s="83">
        <v>20.0</v>
      </c>
      <c r="Y40" s="80">
        <f t="shared" si="16"/>
        <v>20</v>
      </c>
      <c r="Z40" s="72">
        <v>0.0</v>
      </c>
      <c r="AA40" s="72">
        <v>0.0</v>
      </c>
      <c r="AB40" s="72">
        <v>0.0</v>
      </c>
      <c r="AC40" s="72">
        <v>0.0</v>
      </c>
      <c r="AD40" s="72">
        <v>0.0</v>
      </c>
      <c r="AE40" s="86" t="s">
        <v>90</v>
      </c>
      <c r="AG40" s="76" t="s">
        <v>170</v>
      </c>
      <c r="AH40" s="77" t="s">
        <v>171</v>
      </c>
      <c r="AI40" s="77" t="s">
        <v>54</v>
      </c>
      <c r="AJ40" s="116" t="s">
        <v>172</v>
      </c>
      <c r="AK40" s="83">
        <v>20.0</v>
      </c>
      <c r="AL40" s="80">
        <f t="shared" si="17"/>
        <v>20</v>
      </c>
      <c r="AM40" s="72">
        <v>0.0</v>
      </c>
      <c r="AN40" s="72">
        <v>0.0</v>
      </c>
      <c r="AO40" s="72">
        <v>0.0</v>
      </c>
      <c r="AP40" s="72">
        <v>0.0</v>
      </c>
      <c r="AQ40" s="72">
        <v>0.0</v>
      </c>
      <c r="AR40" s="86" t="s">
        <v>90</v>
      </c>
      <c r="AT40" s="76" t="s">
        <v>170</v>
      </c>
      <c r="AU40" s="6"/>
      <c r="AV40" s="6"/>
      <c r="AW40" s="24"/>
      <c r="AX40" s="83">
        <v>20.0</v>
      </c>
      <c r="AY40" s="80">
        <f t="shared" si="18"/>
        <v>20</v>
      </c>
      <c r="AZ40" s="72">
        <v>0.0</v>
      </c>
      <c r="BA40" s="72">
        <v>0.0</v>
      </c>
      <c r="BB40" s="72">
        <v>0.0</v>
      </c>
      <c r="BC40" s="72">
        <v>0.0</v>
      </c>
      <c r="BD40" s="72">
        <v>0.0</v>
      </c>
      <c r="BE40" s="86" t="s">
        <v>90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</row>
    <row r="41">
      <c r="A41" s="117" t="s">
        <v>173</v>
      </c>
      <c r="C41" s="104">
        <v>10.0</v>
      </c>
      <c r="D41" s="75"/>
      <c r="E41" s="98"/>
      <c r="F41" s="6"/>
      <c r="G41" s="6"/>
      <c r="H41" s="24"/>
      <c r="I41" s="99"/>
      <c r="J41" s="97"/>
      <c r="K41" s="72">
        <v>0.0</v>
      </c>
      <c r="L41" s="72">
        <v>0.0</v>
      </c>
      <c r="M41" s="72">
        <v>0.0</v>
      </c>
      <c r="N41" s="72">
        <v>0.0</v>
      </c>
      <c r="O41" s="72">
        <v>0.0</v>
      </c>
      <c r="P41" s="69"/>
      <c r="T41" s="76" t="s">
        <v>174</v>
      </c>
      <c r="U41" s="6"/>
      <c r="V41" s="6"/>
      <c r="W41" s="24"/>
      <c r="X41" s="83">
        <v>20.0</v>
      </c>
      <c r="Y41" s="80">
        <f t="shared" si="16"/>
        <v>20</v>
      </c>
      <c r="Z41" s="72">
        <v>0.0</v>
      </c>
      <c r="AA41" s="72">
        <v>0.0</v>
      </c>
      <c r="AB41" s="72">
        <v>0.0</v>
      </c>
      <c r="AC41" s="72">
        <v>0.0</v>
      </c>
      <c r="AD41" s="72">
        <v>0.0</v>
      </c>
      <c r="AE41" s="86" t="s">
        <v>90</v>
      </c>
      <c r="AG41" s="76" t="s">
        <v>174</v>
      </c>
      <c r="AH41" s="77" t="s">
        <v>175</v>
      </c>
      <c r="AI41" s="77" t="s">
        <v>54</v>
      </c>
      <c r="AJ41" s="116" t="s">
        <v>172</v>
      </c>
      <c r="AK41" s="83">
        <v>20.0</v>
      </c>
      <c r="AL41" s="80">
        <f t="shared" si="17"/>
        <v>20</v>
      </c>
      <c r="AM41" s="72">
        <v>0.0</v>
      </c>
      <c r="AN41" s="72">
        <v>0.0</v>
      </c>
      <c r="AO41" s="72">
        <v>0.0</v>
      </c>
      <c r="AP41" s="72">
        <v>0.0</v>
      </c>
      <c r="AQ41" s="72">
        <v>0.0</v>
      </c>
      <c r="AR41" s="86" t="s">
        <v>90</v>
      </c>
      <c r="AT41" s="76" t="s">
        <v>174</v>
      </c>
      <c r="AU41" s="6"/>
      <c r="AV41" s="6"/>
      <c r="AW41" s="24"/>
      <c r="AX41" s="83">
        <v>20.0</v>
      </c>
      <c r="AY41" s="80">
        <f t="shared" si="18"/>
        <v>20</v>
      </c>
      <c r="AZ41" s="72">
        <v>0.0</v>
      </c>
      <c r="BA41" s="72">
        <v>0.0</v>
      </c>
      <c r="BB41" s="72">
        <v>0.0</v>
      </c>
      <c r="BC41" s="72">
        <v>0.0</v>
      </c>
      <c r="BD41" s="72">
        <v>0.0</v>
      </c>
      <c r="BE41" s="86" t="s">
        <v>90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</row>
    <row r="42">
      <c r="A42" s="117" t="s">
        <v>105</v>
      </c>
      <c r="C42" s="104">
        <v>10.0</v>
      </c>
      <c r="D42" s="75"/>
      <c r="E42" s="6"/>
      <c r="F42" s="6"/>
      <c r="G42" s="6"/>
      <c r="H42" s="118"/>
      <c r="I42" s="119"/>
      <c r="J42" s="114"/>
      <c r="K42" s="120"/>
      <c r="L42" s="120"/>
      <c r="M42" s="120"/>
      <c r="N42" s="120"/>
      <c r="O42" s="120"/>
      <c r="P42" s="6"/>
      <c r="T42" s="121"/>
      <c r="U42" s="6"/>
      <c r="V42" s="6"/>
      <c r="W42" s="118"/>
      <c r="X42" s="122"/>
      <c r="Y42" s="123"/>
      <c r="Z42" s="120"/>
      <c r="AA42" s="120"/>
      <c r="AB42" s="120"/>
      <c r="AC42" s="120"/>
      <c r="AD42" s="120"/>
      <c r="AE42" s="121"/>
      <c r="AG42" s="76" t="s">
        <v>176</v>
      </c>
      <c r="AH42" s="77" t="s">
        <v>177</v>
      </c>
      <c r="AI42" s="77" t="s">
        <v>47</v>
      </c>
      <c r="AJ42" s="124" t="s">
        <v>172</v>
      </c>
      <c r="AK42" s="83">
        <v>20.0</v>
      </c>
      <c r="AL42" s="80">
        <f t="shared" si="17"/>
        <v>20</v>
      </c>
      <c r="AM42" s="120"/>
      <c r="AN42" s="120"/>
      <c r="AO42" s="120"/>
      <c r="AP42" s="120"/>
      <c r="AQ42" s="120"/>
      <c r="AR42" s="121"/>
      <c r="AT42" s="121"/>
      <c r="AU42" s="6"/>
      <c r="AV42" s="6"/>
      <c r="AW42" s="118"/>
      <c r="AX42" s="122"/>
      <c r="AY42" s="123"/>
      <c r="AZ42" s="120"/>
      <c r="BA42" s="120"/>
      <c r="BB42" s="120"/>
      <c r="BC42" s="120"/>
      <c r="BD42" s="120"/>
      <c r="BE42" s="121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</row>
    <row r="43">
      <c r="A43" s="117" t="s">
        <v>124</v>
      </c>
      <c r="C43" s="104">
        <v>10.0</v>
      </c>
      <c r="D43" s="75"/>
      <c r="E43" s="6"/>
      <c r="F43" s="6"/>
      <c r="G43" s="6"/>
      <c r="H43" s="118"/>
      <c r="I43" s="119"/>
      <c r="J43" s="114"/>
      <c r="K43" s="120"/>
      <c r="L43" s="120"/>
      <c r="M43" s="120"/>
      <c r="N43" s="120"/>
      <c r="O43" s="120"/>
      <c r="P43" s="6"/>
      <c r="T43" s="121"/>
      <c r="U43" s="6"/>
      <c r="V43" s="6"/>
      <c r="W43" s="118"/>
      <c r="X43" s="122"/>
      <c r="Y43" s="123"/>
      <c r="Z43" s="120"/>
      <c r="AA43" s="120"/>
      <c r="AB43" s="120"/>
      <c r="AC43" s="120"/>
      <c r="AD43" s="120"/>
      <c r="AE43" s="121"/>
      <c r="AG43" s="76" t="s">
        <v>178</v>
      </c>
      <c r="AH43" s="77" t="s">
        <v>179</v>
      </c>
      <c r="AI43" s="77" t="s">
        <v>53</v>
      </c>
      <c r="AJ43" s="124" t="s">
        <v>172</v>
      </c>
      <c r="AK43" s="83">
        <v>20.0</v>
      </c>
      <c r="AL43" s="80">
        <f t="shared" si="17"/>
        <v>20</v>
      </c>
      <c r="AM43" s="120"/>
      <c r="AN43" s="120"/>
      <c r="AO43" s="120"/>
      <c r="AP43" s="120"/>
      <c r="AQ43" s="120"/>
      <c r="AR43" s="121"/>
      <c r="AT43" s="121"/>
      <c r="AU43" s="6"/>
      <c r="AV43" s="6"/>
      <c r="AW43" s="118"/>
      <c r="AX43" s="122"/>
      <c r="AY43" s="123"/>
      <c r="AZ43" s="120"/>
      <c r="BA43" s="120"/>
      <c r="BB43" s="120"/>
      <c r="BC43" s="120"/>
      <c r="BD43" s="120"/>
      <c r="BE43" s="121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</row>
    <row r="44">
      <c r="A44" s="117" t="s">
        <v>143</v>
      </c>
      <c r="C44" s="104">
        <v>15.0</v>
      </c>
      <c r="D44" s="75"/>
      <c r="E44" s="6"/>
      <c r="F44" s="6"/>
      <c r="G44" s="6"/>
      <c r="H44" s="118"/>
      <c r="I44" s="119"/>
      <c r="J44" s="114"/>
      <c r="K44" s="120"/>
      <c r="L44" s="120"/>
      <c r="M44" s="120"/>
      <c r="N44" s="120"/>
      <c r="O44" s="120"/>
      <c r="P44" s="6"/>
      <c r="T44" s="121"/>
      <c r="U44" s="6"/>
      <c r="V44" s="6"/>
      <c r="W44" s="118"/>
      <c r="X44" s="122"/>
      <c r="Y44" s="123"/>
      <c r="Z44" s="120"/>
      <c r="AA44" s="120"/>
      <c r="AB44" s="120"/>
      <c r="AC44" s="120"/>
      <c r="AD44" s="120"/>
      <c r="AE44" s="121"/>
      <c r="AG44" s="76"/>
      <c r="AH44" s="6"/>
      <c r="AI44" s="6"/>
      <c r="AJ44" s="116"/>
      <c r="AK44" s="122"/>
      <c r="AL44" s="123"/>
      <c r="AM44" s="120"/>
      <c r="AN44" s="120"/>
      <c r="AO44" s="120"/>
      <c r="AP44" s="120"/>
      <c r="AQ44" s="120"/>
      <c r="AR44" s="121"/>
      <c r="AT44" s="121"/>
      <c r="AU44" s="6"/>
      <c r="AV44" s="6"/>
      <c r="AW44" s="118"/>
      <c r="AX44" s="122"/>
      <c r="AY44" s="123"/>
      <c r="AZ44" s="120"/>
      <c r="BA44" s="120"/>
      <c r="BB44" s="120"/>
      <c r="BC44" s="120"/>
      <c r="BD44" s="120"/>
      <c r="BE44" s="121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</row>
    <row r="45">
      <c r="A45" s="117" t="s">
        <v>160</v>
      </c>
      <c r="C45" s="104">
        <v>10.0</v>
      </c>
      <c r="D45" s="75"/>
      <c r="E45" s="6"/>
      <c r="F45" s="6"/>
      <c r="G45" s="6"/>
      <c r="H45" s="6"/>
      <c r="I45" s="102">
        <f>SUM(I32:I41)</f>
        <v>180</v>
      </c>
      <c r="J45" s="125"/>
      <c r="K45" s="103">
        <f t="shared" ref="K45:O45" si="19">SUM(K32:K41)</f>
        <v>60</v>
      </c>
      <c r="L45" s="103">
        <f t="shared" si="19"/>
        <v>2</v>
      </c>
      <c r="M45" s="103">
        <f t="shared" si="19"/>
        <v>8</v>
      </c>
      <c r="N45" s="103">
        <f t="shared" si="19"/>
        <v>0</v>
      </c>
      <c r="O45" s="103">
        <f t="shared" si="19"/>
        <v>0</v>
      </c>
      <c r="P45" s="6"/>
      <c r="T45" s="6"/>
      <c r="U45" s="6"/>
      <c r="V45" s="6"/>
      <c r="W45" s="6"/>
      <c r="X45" s="102">
        <f>SUM(X32:X41)</f>
        <v>200</v>
      </c>
      <c r="Y45" s="125"/>
      <c r="Z45" s="103">
        <f t="shared" ref="Z45:AD45" si="20">SUM(Z32:Z41)</f>
        <v>0</v>
      </c>
      <c r="AA45" s="103">
        <f t="shared" si="20"/>
        <v>0</v>
      </c>
      <c r="AB45" s="103">
        <f t="shared" si="20"/>
        <v>0</v>
      </c>
      <c r="AC45" s="103">
        <f t="shared" si="20"/>
        <v>0</v>
      </c>
      <c r="AD45" s="103">
        <f t="shared" si="20"/>
        <v>0</v>
      </c>
      <c r="AE45" s="6"/>
      <c r="AG45" s="76"/>
      <c r="AH45" s="6"/>
      <c r="AI45" s="6"/>
      <c r="AJ45" s="6"/>
      <c r="AK45" s="102">
        <f>SUM(AK32:AK41)</f>
        <v>200</v>
      </c>
      <c r="AL45" s="125"/>
      <c r="AM45" s="103">
        <f t="shared" ref="AM45:AQ45" si="21">SUM(AM32:AM41)</f>
        <v>0</v>
      </c>
      <c r="AN45" s="103">
        <f t="shared" si="21"/>
        <v>0</v>
      </c>
      <c r="AO45" s="103">
        <f t="shared" si="21"/>
        <v>0</v>
      </c>
      <c r="AP45" s="103">
        <f t="shared" si="21"/>
        <v>0</v>
      </c>
      <c r="AQ45" s="103">
        <f t="shared" si="21"/>
        <v>0</v>
      </c>
      <c r="AR45" s="6"/>
      <c r="AT45" s="6"/>
      <c r="AU45" s="6"/>
      <c r="AV45" s="6"/>
      <c r="AW45" s="6"/>
      <c r="AX45" s="102">
        <f>SUM(AX32:AX41)</f>
        <v>200</v>
      </c>
      <c r="AY45" s="125"/>
      <c r="AZ45" s="103">
        <f t="shared" ref="AZ45:BD45" si="22">SUM(AZ32:AZ41)</f>
        <v>0</v>
      </c>
      <c r="BA45" s="103">
        <f t="shared" si="22"/>
        <v>0</v>
      </c>
      <c r="BB45" s="103">
        <f t="shared" si="22"/>
        <v>0</v>
      </c>
      <c r="BC45" s="103">
        <f t="shared" si="22"/>
        <v>0</v>
      </c>
      <c r="BD45" s="103">
        <f t="shared" si="22"/>
        <v>0</v>
      </c>
      <c r="BE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</row>
    <row r="46">
      <c r="A46" s="117" t="s">
        <v>101</v>
      </c>
      <c r="C46" s="104">
        <v>15.0</v>
      </c>
      <c r="D46" s="75"/>
      <c r="E46" s="6"/>
      <c r="F46" s="6"/>
      <c r="G46" s="6"/>
      <c r="H46" s="105" t="s">
        <v>132</v>
      </c>
      <c r="I46" s="106">
        <f>SUM(K45:O45)</f>
        <v>70</v>
      </c>
      <c r="P46" s="6"/>
      <c r="T46" s="6"/>
      <c r="U46" s="6"/>
      <c r="V46" s="6"/>
      <c r="W46" s="105" t="s">
        <v>132</v>
      </c>
      <c r="X46" s="106">
        <f>SUM(Z45:AD45)</f>
        <v>0</v>
      </c>
      <c r="AE46" s="6"/>
      <c r="AG46" s="76"/>
      <c r="AH46" s="6"/>
      <c r="AI46" s="6"/>
      <c r="AJ46" s="105" t="s">
        <v>132</v>
      </c>
      <c r="AK46" s="106">
        <f>SUM(AM45:AQ45)</f>
        <v>0</v>
      </c>
      <c r="AR46" s="6"/>
      <c r="AT46" s="6"/>
      <c r="AU46" s="6"/>
      <c r="AV46" s="6"/>
      <c r="AW46" s="105" t="s">
        <v>132</v>
      </c>
      <c r="AX46" s="106">
        <f>SUM(AZ45:BD45)</f>
        <v>0</v>
      </c>
      <c r="BE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</row>
    <row r="47">
      <c r="A47" s="117" t="s">
        <v>112</v>
      </c>
      <c r="C47" s="104">
        <v>10.0</v>
      </c>
      <c r="D47" s="75"/>
      <c r="E47" s="6"/>
      <c r="F47" s="2"/>
      <c r="G47" s="6"/>
      <c r="H47" s="6"/>
      <c r="I47" s="6"/>
      <c r="J47" s="6"/>
      <c r="K47" s="6"/>
      <c r="L47" s="6"/>
      <c r="M47" s="6"/>
      <c r="N47" s="6"/>
      <c r="O47" s="6"/>
      <c r="P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</row>
    <row r="48">
      <c r="A48" s="117" t="s">
        <v>149</v>
      </c>
      <c r="C48" s="104">
        <v>15.0</v>
      </c>
      <c r="D48" s="75"/>
      <c r="E48" s="126" t="s">
        <v>180</v>
      </c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60"/>
      <c r="T48" s="58" t="s">
        <v>180</v>
      </c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60"/>
      <c r="AG48" s="58" t="s">
        <v>180</v>
      </c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60"/>
      <c r="AT48" s="58" t="s">
        <v>180</v>
      </c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60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</row>
    <row r="49">
      <c r="A49" s="40"/>
      <c r="B49" s="40"/>
      <c r="C49" s="40"/>
      <c r="E49" s="65" t="s">
        <v>74</v>
      </c>
      <c r="F49" s="66" t="s">
        <v>75</v>
      </c>
      <c r="G49" s="67" t="s">
        <v>76</v>
      </c>
      <c r="H49" s="67" t="s">
        <v>77</v>
      </c>
      <c r="I49" s="67" t="s">
        <v>0</v>
      </c>
      <c r="J49" s="67" t="s">
        <v>78</v>
      </c>
      <c r="K49" s="67" t="s">
        <v>79</v>
      </c>
      <c r="L49" s="67" t="s">
        <v>80</v>
      </c>
      <c r="M49" s="67" t="s">
        <v>81</v>
      </c>
      <c r="N49" s="67" t="s">
        <v>82</v>
      </c>
      <c r="O49" s="67" t="s">
        <v>83</v>
      </c>
      <c r="P49" s="67" t="s">
        <v>37</v>
      </c>
      <c r="T49" s="65" t="s">
        <v>74</v>
      </c>
      <c r="U49" s="66" t="s">
        <v>75</v>
      </c>
      <c r="V49" s="67" t="s">
        <v>76</v>
      </c>
      <c r="W49" s="67" t="s">
        <v>77</v>
      </c>
      <c r="X49" s="67" t="s">
        <v>0</v>
      </c>
      <c r="Y49" s="67" t="s">
        <v>78</v>
      </c>
      <c r="Z49" s="67" t="s">
        <v>79</v>
      </c>
      <c r="AA49" s="67" t="s">
        <v>80</v>
      </c>
      <c r="AB49" s="67" t="s">
        <v>81</v>
      </c>
      <c r="AC49" s="67" t="s">
        <v>82</v>
      </c>
      <c r="AD49" s="67" t="s">
        <v>83</v>
      </c>
      <c r="AE49" s="67" t="s">
        <v>37</v>
      </c>
      <c r="AG49" s="65" t="s">
        <v>74</v>
      </c>
      <c r="AH49" s="66" t="s">
        <v>75</v>
      </c>
      <c r="AI49" s="67" t="s">
        <v>76</v>
      </c>
      <c r="AJ49" s="67" t="s">
        <v>77</v>
      </c>
      <c r="AK49" s="67" t="s">
        <v>0</v>
      </c>
      <c r="AL49" s="67" t="s">
        <v>78</v>
      </c>
      <c r="AM49" s="67" t="s">
        <v>79</v>
      </c>
      <c r="AN49" s="67" t="s">
        <v>80</v>
      </c>
      <c r="AO49" s="67" t="s">
        <v>81</v>
      </c>
      <c r="AP49" s="67" t="s">
        <v>82</v>
      </c>
      <c r="AQ49" s="67" t="s">
        <v>83</v>
      </c>
      <c r="AR49" s="67" t="s">
        <v>37</v>
      </c>
      <c r="AT49" s="65" t="s">
        <v>74</v>
      </c>
      <c r="AU49" s="66" t="s">
        <v>75</v>
      </c>
      <c r="AV49" s="67" t="s">
        <v>76</v>
      </c>
      <c r="AW49" s="67" t="s">
        <v>77</v>
      </c>
      <c r="AX49" s="67" t="s">
        <v>0</v>
      </c>
      <c r="AY49" s="67" t="s">
        <v>78</v>
      </c>
      <c r="AZ49" s="67" t="s">
        <v>79</v>
      </c>
      <c r="BA49" s="67" t="s">
        <v>80</v>
      </c>
      <c r="BB49" s="67" t="s">
        <v>81</v>
      </c>
      <c r="BC49" s="67" t="s">
        <v>82</v>
      </c>
      <c r="BD49" s="67" t="s">
        <v>83</v>
      </c>
      <c r="BE49" s="67" t="s">
        <v>37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</row>
    <row r="50">
      <c r="A50" s="114" t="s">
        <v>100</v>
      </c>
      <c r="C50" s="127">
        <v>15.0</v>
      </c>
      <c r="E50" s="76" t="s">
        <v>181</v>
      </c>
      <c r="F50" s="77" t="s">
        <v>150</v>
      </c>
      <c r="G50" s="77" t="s">
        <v>47</v>
      </c>
      <c r="H50" s="78">
        <v>46230.0</v>
      </c>
      <c r="I50" s="79">
        <v>20.0</v>
      </c>
      <c r="J50" s="80">
        <f t="shared" ref="J50:J55" si="23">(I50-(K50+L50+M50+N50+O50))</f>
        <v>16</v>
      </c>
      <c r="K50" s="81">
        <v>4.0</v>
      </c>
      <c r="L50" s="72">
        <v>0.0</v>
      </c>
      <c r="M50" s="72">
        <v>0.0</v>
      </c>
      <c r="N50" s="72">
        <v>0.0</v>
      </c>
      <c r="O50" s="72">
        <v>0.0</v>
      </c>
      <c r="P50" s="113" t="s">
        <v>90</v>
      </c>
      <c r="T50" s="76" t="s">
        <v>181</v>
      </c>
      <c r="U50" s="6"/>
      <c r="V50" s="6"/>
      <c r="W50" s="87">
        <v>45895.0</v>
      </c>
      <c r="X50" s="83">
        <v>20.0</v>
      </c>
      <c r="Y50" s="80">
        <f t="shared" ref="Y50:Y59" si="24">(X50-(Z50+AA50+AB50+AC50+AD50))</f>
        <v>20</v>
      </c>
      <c r="Z50" s="72">
        <v>0.0</v>
      </c>
      <c r="AA50" s="72">
        <v>0.0</v>
      </c>
      <c r="AB50" s="72">
        <v>0.0</v>
      </c>
      <c r="AC50" s="72">
        <v>0.0</v>
      </c>
      <c r="AD50" s="72">
        <v>0.0</v>
      </c>
      <c r="AE50" s="86" t="s">
        <v>90</v>
      </c>
      <c r="AG50" s="76" t="s">
        <v>181</v>
      </c>
      <c r="AH50" s="6"/>
      <c r="AI50" s="6"/>
      <c r="AJ50" s="87">
        <v>45838.0</v>
      </c>
      <c r="AK50" s="83">
        <v>20.0</v>
      </c>
      <c r="AL50" s="80">
        <f t="shared" ref="AL50:AL59" si="25">(AK50-(AM50+AN50+AO50+AP50+AQ50))</f>
        <v>20</v>
      </c>
      <c r="AM50" s="72">
        <v>0.0</v>
      </c>
      <c r="AN50" s="72">
        <v>0.0</v>
      </c>
      <c r="AO50" s="72">
        <v>0.0</v>
      </c>
      <c r="AP50" s="72">
        <v>0.0</v>
      </c>
      <c r="AQ50" s="72">
        <v>0.0</v>
      </c>
      <c r="AR50" s="86" t="s">
        <v>90</v>
      </c>
      <c r="AT50" s="76" t="s">
        <v>181</v>
      </c>
      <c r="AU50" s="6"/>
      <c r="AV50" s="6"/>
      <c r="AW50" s="87">
        <v>45838.0</v>
      </c>
      <c r="AX50" s="83">
        <v>20.0</v>
      </c>
      <c r="AY50" s="80">
        <f t="shared" ref="AY50:AY59" si="26">(AX50-(AZ50+BA50+BB50+BC50+BD50))</f>
        <v>20</v>
      </c>
      <c r="AZ50" s="72">
        <v>0.0</v>
      </c>
      <c r="BA50" s="72">
        <v>0.0</v>
      </c>
      <c r="BB50" s="72">
        <v>0.0</v>
      </c>
      <c r="BC50" s="72">
        <v>0.0</v>
      </c>
      <c r="BD50" s="72">
        <v>0.0</v>
      </c>
      <c r="BE50" s="33" t="s">
        <v>90</v>
      </c>
      <c r="BG50" s="6"/>
      <c r="BH50" s="6"/>
      <c r="BI50" s="6"/>
      <c r="BJ50" s="6"/>
      <c r="BK50" s="128" t="str">
        <f>F7</f>
        <v>พีรพัฒน์ แสวงรัมย์</v>
      </c>
      <c r="BL50" s="129" t="str">
        <f>F8</f>
        <v>การัญภาส กันทะเนตร</v>
      </c>
      <c r="BM50" s="130" t="str">
        <f>F9</f>
        <v>อรชพร กลิ่นชื่น</v>
      </c>
      <c r="BN50" s="6"/>
      <c r="BO50" s="6"/>
      <c r="BP50" s="6"/>
      <c r="BQ50" s="6"/>
    </row>
    <row r="51">
      <c r="A51" s="130" t="s">
        <v>116</v>
      </c>
      <c r="C51" s="127">
        <v>10.0</v>
      </c>
      <c r="E51" s="76" t="s">
        <v>182</v>
      </c>
      <c r="F51" s="77" t="s">
        <v>134</v>
      </c>
      <c r="G51" s="77" t="s">
        <v>54</v>
      </c>
      <c r="H51" s="78">
        <v>46231.0</v>
      </c>
      <c r="I51" s="83">
        <v>20.0</v>
      </c>
      <c r="J51" s="115">
        <f t="shared" si="23"/>
        <v>20</v>
      </c>
      <c r="K51" s="72">
        <v>0.0</v>
      </c>
      <c r="L51" s="72">
        <v>0.0</v>
      </c>
      <c r="M51" s="81">
        <v>0.0</v>
      </c>
      <c r="N51" s="72">
        <v>0.0</v>
      </c>
      <c r="O51" s="72">
        <v>0.0</v>
      </c>
      <c r="P51" s="86" t="s">
        <v>90</v>
      </c>
      <c r="T51" s="76" t="s">
        <v>182</v>
      </c>
      <c r="U51" s="6"/>
      <c r="V51" s="6"/>
      <c r="W51" s="24"/>
      <c r="X51" s="83">
        <v>20.0</v>
      </c>
      <c r="Y51" s="80">
        <f t="shared" si="24"/>
        <v>20</v>
      </c>
      <c r="Z51" s="72">
        <v>0.0</v>
      </c>
      <c r="AA51" s="72">
        <v>0.0</v>
      </c>
      <c r="AB51" s="72">
        <v>0.0</v>
      </c>
      <c r="AC51" s="72">
        <v>0.0</v>
      </c>
      <c r="AD51" s="72">
        <v>0.0</v>
      </c>
      <c r="AE51" s="86" t="s">
        <v>90</v>
      </c>
      <c r="AG51" s="76" t="s">
        <v>182</v>
      </c>
      <c r="AH51" s="6"/>
      <c r="AI51" s="6"/>
      <c r="AJ51" s="87">
        <v>45838.0</v>
      </c>
      <c r="AK51" s="83">
        <v>20.0</v>
      </c>
      <c r="AL51" s="80">
        <f t="shared" si="25"/>
        <v>20</v>
      </c>
      <c r="AM51" s="72">
        <v>0.0</v>
      </c>
      <c r="AN51" s="72">
        <v>0.0</v>
      </c>
      <c r="AO51" s="72">
        <v>0.0</v>
      </c>
      <c r="AP51" s="72">
        <v>0.0</v>
      </c>
      <c r="AQ51" s="72">
        <v>0.0</v>
      </c>
      <c r="AR51" s="86" t="s">
        <v>90</v>
      </c>
      <c r="AT51" s="76" t="s">
        <v>182</v>
      </c>
      <c r="AU51" s="6"/>
      <c r="AV51" s="6"/>
      <c r="AW51" s="24"/>
      <c r="AX51" s="83">
        <v>20.0</v>
      </c>
      <c r="AY51" s="80">
        <f t="shared" si="26"/>
        <v>20</v>
      </c>
      <c r="AZ51" s="72">
        <v>0.0</v>
      </c>
      <c r="BA51" s="72">
        <v>0.0</v>
      </c>
      <c r="BB51" s="72">
        <v>0.0</v>
      </c>
      <c r="BC51" s="72">
        <v>0.0</v>
      </c>
      <c r="BD51" s="72">
        <v>0.0</v>
      </c>
      <c r="BE51" s="33" t="s">
        <v>90</v>
      </c>
      <c r="BG51" s="6"/>
      <c r="BH51" s="6"/>
      <c r="BI51" s="6"/>
      <c r="BJ51" s="131" t="s">
        <v>2</v>
      </c>
      <c r="BK51" s="120">
        <f t="shared" ref="BK51:BM51" si="27">SUM(M80,AB80,AO80,BB80)</f>
        <v>13</v>
      </c>
      <c r="BL51" s="120">
        <f t="shared" si="27"/>
        <v>13</v>
      </c>
      <c r="BM51" s="120">
        <f t="shared" si="27"/>
        <v>16</v>
      </c>
      <c r="BN51" s="6"/>
      <c r="BO51" s="6"/>
      <c r="BP51" s="6"/>
      <c r="BQ51" s="6"/>
    </row>
    <row r="52">
      <c r="A52" s="114" t="s">
        <v>129</v>
      </c>
      <c r="C52" s="127">
        <v>10.0</v>
      </c>
      <c r="E52" s="76" t="s">
        <v>183</v>
      </c>
      <c r="F52" s="77" t="s">
        <v>155</v>
      </c>
      <c r="G52" s="77" t="s">
        <v>47</v>
      </c>
      <c r="H52" s="78">
        <v>46231.0</v>
      </c>
      <c r="I52" s="83">
        <v>20.0</v>
      </c>
      <c r="J52" s="80">
        <f t="shared" si="23"/>
        <v>20</v>
      </c>
      <c r="K52" s="72">
        <v>0.0</v>
      </c>
      <c r="L52" s="72">
        <v>0.0</v>
      </c>
      <c r="M52" s="72">
        <v>0.0</v>
      </c>
      <c r="N52" s="72">
        <v>0.0</v>
      </c>
      <c r="O52" s="72">
        <v>0.0</v>
      </c>
      <c r="P52" s="113" t="s">
        <v>90</v>
      </c>
      <c r="T52" s="76" t="s">
        <v>183</v>
      </c>
      <c r="U52" s="6"/>
      <c r="V52" s="6"/>
      <c r="W52" s="24"/>
      <c r="X52" s="83">
        <v>20.0</v>
      </c>
      <c r="Y52" s="80">
        <f t="shared" si="24"/>
        <v>20</v>
      </c>
      <c r="Z52" s="72">
        <v>0.0</v>
      </c>
      <c r="AA52" s="72">
        <v>0.0</v>
      </c>
      <c r="AB52" s="72">
        <v>0.0</v>
      </c>
      <c r="AC52" s="72">
        <v>0.0</v>
      </c>
      <c r="AD52" s="72">
        <v>0.0</v>
      </c>
      <c r="AE52" s="86" t="s">
        <v>90</v>
      </c>
      <c r="AG52" s="76" t="s">
        <v>183</v>
      </c>
      <c r="AH52" s="6"/>
      <c r="AI52" s="6"/>
      <c r="AJ52" s="87">
        <v>45838.0</v>
      </c>
      <c r="AK52" s="83">
        <v>20.0</v>
      </c>
      <c r="AL52" s="80">
        <f t="shared" si="25"/>
        <v>20</v>
      </c>
      <c r="AM52" s="72">
        <v>0.0</v>
      </c>
      <c r="AN52" s="72">
        <v>0.0</v>
      </c>
      <c r="AO52" s="72">
        <v>0.0</v>
      </c>
      <c r="AP52" s="72">
        <v>0.0</v>
      </c>
      <c r="AQ52" s="72">
        <v>0.0</v>
      </c>
      <c r="AR52" s="86" t="s">
        <v>90</v>
      </c>
      <c r="AT52" s="76" t="s">
        <v>183</v>
      </c>
      <c r="AU52" s="6"/>
      <c r="AV52" s="6"/>
      <c r="AW52" s="24"/>
      <c r="AX52" s="83">
        <v>20.0</v>
      </c>
      <c r="AY52" s="80">
        <f t="shared" si="26"/>
        <v>20</v>
      </c>
      <c r="AZ52" s="72">
        <v>0.0</v>
      </c>
      <c r="BA52" s="72">
        <v>0.0</v>
      </c>
      <c r="BB52" s="72">
        <v>0.0</v>
      </c>
      <c r="BC52" s="72">
        <v>0.0</v>
      </c>
      <c r="BD52" s="72">
        <v>0.0</v>
      </c>
      <c r="BE52" s="33" t="s">
        <v>90</v>
      </c>
      <c r="BG52" s="6"/>
      <c r="BH52" s="6"/>
      <c r="BI52" s="6"/>
      <c r="BJ52" s="132" t="s">
        <v>7</v>
      </c>
      <c r="BK52" s="120">
        <f t="shared" ref="BK52:BM52" si="28">SUM(M81,AB81,AO81,BB81)</f>
        <v>0</v>
      </c>
      <c r="BL52" s="120">
        <f t="shared" si="28"/>
        <v>0</v>
      </c>
      <c r="BM52" s="120">
        <f t="shared" si="28"/>
        <v>1</v>
      </c>
      <c r="BN52" s="6"/>
      <c r="BO52" s="6"/>
      <c r="BP52" s="6"/>
      <c r="BQ52" s="6"/>
    </row>
    <row r="53">
      <c r="A53" s="130" t="s">
        <v>148</v>
      </c>
      <c r="C53" s="127">
        <v>10.0</v>
      </c>
      <c r="E53" s="76" t="s">
        <v>184</v>
      </c>
      <c r="F53" s="77" t="s">
        <v>169</v>
      </c>
      <c r="G53" s="77" t="s">
        <v>53</v>
      </c>
      <c r="H53" s="78">
        <v>46232.0</v>
      </c>
      <c r="I53" s="83">
        <v>20.0</v>
      </c>
      <c r="J53" s="80">
        <f t="shared" si="23"/>
        <v>20</v>
      </c>
      <c r="K53" s="72">
        <v>0.0</v>
      </c>
      <c r="L53" s="72">
        <v>0.0</v>
      </c>
      <c r="M53" s="72">
        <v>0.0</v>
      </c>
      <c r="N53" s="72">
        <v>0.0</v>
      </c>
      <c r="O53" s="72">
        <v>0.0</v>
      </c>
      <c r="P53" s="113" t="s">
        <v>90</v>
      </c>
      <c r="T53" s="76" t="s">
        <v>184</v>
      </c>
      <c r="U53" s="6"/>
      <c r="V53" s="6"/>
      <c r="W53" s="24"/>
      <c r="X53" s="83">
        <v>20.0</v>
      </c>
      <c r="Y53" s="80">
        <f t="shared" si="24"/>
        <v>20</v>
      </c>
      <c r="Z53" s="72">
        <v>0.0</v>
      </c>
      <c r="AA53" s="72">
        <v>0.0</v>
      </c>
      <c r="AB53" s="72">
        <v>0.0</v>
      </c>
      <c r="AC53" s="72">
        <v>0.0</v>
      </c>
      <c r="AD53" s="72">
        <v>0.0</v>
      </c>
      <c r="AE53" s="86" t="s">
        <v>90</v>
      </c>
      <c r="AG53" s="76" t="s">
        <v>184</v>
      </c>
      <c r="AH53" s="6"/>
      <c r="AI53" s="6"/>
      <c r="AJ53" s="87">
        <v>45838.0</v>
      </c>
      <c r="AK53" s="83">
        <v>20.0</v>
      </c>
      <c r="AL53" s="80">
        <f t="shared" si="25"/>
        <v>20</v>
      </c>
      <c r="AM53" s="72">
        <v>0.0</v>
      </c>
      <c r="AN53" s="72">
        <v>0.0</v>
      </c>
      <c r="AO53" s="72">
        <v>0.0</v>
      </c>
      <c r="AP53" s="72">
        <v>0.0</v>
      </c>
      <c r="AQ53" s="72">
        <v>0.0</v>
      </c>
      <c r="AR53" s="86" t="s">
        <v>90</v>
      </c>
      <c r="AT53" s="76" t="s">
        <v>184</v>
      </c>
      <c r="AU53" s="6"/>
      <c r="AV53" s="6"/>
      <c r="AW53" s="24"/>
      <c r="AX53" s="83">
        <v>20.0</v>
      </c>
      <c r="AY53" s="80">
        <f t="shared" si="26"/>
        <v>20</v>
      </c>
      <c r="AZ53" s="72">
        <v>0.0</v>
      </c>
      <c r="BA53" s="72">
        <v>0.0</v>
      </c>
      <c r="BB53" s="72">
        <v>0.0</v>
      </c>
      <c r="BC53" s="72">
        <v>0.0</v>
      </c>
      <c r="BD53" s="72">
        <v>0.0</v>
      </c>
      <c r="BE53" s="86" t="s">
        <v>90</v>
      </c>
      <c r="BG53" s="6"/>
      <c r="BH53" s="6"/>
      <c r="BI53" s="6"/>
      <c r="BJ53" s="133" t="s">
        <v>29</v>
      </c>
      <c r="BK53" s="120">
        <f t="shared" ref="BK53:BM53" si="29">SUM(M82,AB82,AO82,BB82)</f>
        <v>0</v>
      </c>
      <c r="BL53" s="120">
        <f t="shared" si="29"/>
        <v>0</v>
      </c>
      <c r="BM53" s="120">
        <f t="shared" si="29"/>
        <v>0</v>
      </c>
      <c r="BN53" s="6"/>
      <c r="BO53" s="2"/>
      <c r="BP53" s="6"/>
      <c r="BQ53" s="6"/>
    </row>
    <row r="54">
      <c r="A54" s="130" t="s">
        <v>157</v>
      </c>
      <c r="C54" s="127">
        <v>5.0</v>
      </c>
      <c r="E54" s="76" t="s">
        <v>185</v>
      </c>
      <c r="F54" s="77" t="s">
        <v>136</v>
      </c>
      <c r="G54" s="77" t="s">
        <v>54</v>
      </c>
      <c r="H54" s="78">
        <v>46233.0</v>
      </c>
      <c r="I54" s="83">
        <v>20.0</v>
      </c>
      <c r="J54" s="80">
        <f t="shared" si="23"/>
        <v>4</v>
      </c>
      <c r="K54" s="81">
        <v>16.0</v>
      </c>
      <c r="L54" s="72">
        <v>0.0</v>
      </c>
      <c r="M54" s="81">
        <v>0.0</v>
      </c>
      <c r="N54" s="72">
        <v>0.0</v>
      </c>
      <c r="O54" s="72">
        <v>0.0</v>
      </c>
      <c r="P54" s="32" t="s">
        <v>31</v>
      </c>
      <c r="T54" s="76" t="s">
        <v>185</v>
      </c>
      <c r="U54" s="6"/>
      <c r="V54" s="6"/>
      <c r="W54" s="24"/>
      <c r="X54" s="83">
        <v>20.0</v>
      </c>
      <c r="Y54" s="80">
        <f t="shared" si="24"/>
        <v>20</v>
      </c>
      <c r="Z54" s="72">
        <v>0.0</v>
      </c>
      <c r="AA54" s="72">
        <v>0.0</v>
      </c>
      <c r="AB54" s="72">
        <v>0.0</v>
      </c>
      <c r="AC54" s="72">
        <v>0.0</v>
      </c>
      <c r="AD54" s="72">
        <v>0.0</v>
      </c>
      <c r="AE54" s="86" t="s">
        <v>90</v>
      </c>
      <c r="AG54" s="76" t="s">
        <v>185</v>
      </c>
      <c r="AH54" s="6"/>
      <c r="AI54" s="6"/>
      <c r="AJ54" s="87">
        <v>45838.0</v>
      </c>
      <c r="AK54" s="83">
        <v>20.0</v>
      </c>
      <c r="AL54" s="80">
        <f t="shared" si="25"/>
        <v>20</v>
      </c>
      <c r="AM54" s="72">
        <v>0.0</v>
      </c>
      <c r="AN54" s="72">
        <v>0.0</v>
      </c>
      <c r="AO54" s="72">
        <v>0.0</v>
      </c>
      <c r="AP54" s="72">
        <v>0.0</v>
      </c>
      <c r="AQ54" s="72">
        <v>0.0</v>
      </c>
      <c r="AR54" s="86" t="s">
        <v>90</v>
      </c>
      <c r="AT54" s="76" t="s">
        <v>185</v>
      </c>
      <c r="AU54" s="6"/>
      <c r="AV54" s="6"/>
      <c r="AW54" s="24"/>
      <c r="AX54" s="83">
        <v>20.0</v>
      </c>
      <c r="AY54" s="80">
        <f t="shared" si="26"/>
        <v>20</v>
      </c>
      <c r="AZ54" s="72">
        <v>0.0</v>
      </c>
      <c r="BA54" s="72">
        <v>0.0</v>
      </c>
      <c r="BB54" s="72">
        <v>0.0</v>
      </c>
      <c r="BC54" s="72">
        <v>0.0</v>
      </c>
      <c r="BD54" s="72">
        <v>0.0</v>
      </c>
      <c r="BE54" s="86" t="s">
        <v>90</v>
      </c>
      <c r="BG54" s="6"/>
      <c r="BH54" s="6"/>
      <c r="BI54" s="6"/>
      <c r="BJ54" s="134" t="s">
        <v>31</v>
      </c>
      <c r="BK54" s="120">
        <f t="shared" ref="BK54:BM54" si="30">SUM(M83,AB83,AO83,BB83)</f>
        <v>1</v>
      </c>
      <c r="BL54" s="120">
        <f t="shared" si="30"/>
        <v>0</v>
      </c>
      <c r="BM54" s="120">
        <f t="shared" si="30"/>
        <v>4</v>
      </c>
      <c r="BN54" s="6"/>
      <c r="BO54" s="6"/>
      <c r="BP54" s="6"/>
      <c r="BQ54" s="6"/>
    </row>
    <row r="55">
      <c r="A55" s="135" t="s">
        <v>89</v>
      </c>
      <c r="C55" s="136">
        <v>10.0</v>
      </c>
      <c r="E55" s="76" t="s">
        <v>186</v>
      </c>
      <c r="F55" s="77" t="s">
        <v>173</v>
      </c>
      <c r="G55" s="77" t="s">
        <v>53</v>
      </c>
      <c r="H55" s="78">
        <v>46234.0</v>
      </c>
      <c r="I55" s="83">
        <v>20.0</v>
      </c>
      <c r="J55" s="80">
        <f t="shared" si="23"/>
        <v>20</v>
      </c>
      <c r="K55" s="72">
        <v>0.0</v>
      </c>
      <c r="L55" s="72">
        <v>0.0</v>
      </c>
      <c r="M55" s="72">
        <v>0.0</v>
      </c>
      <c r="N55" s="72">
        <v>0.0</v>
      </c>
      <c r="O55" s="72">
        <v>0.0</v>
      </c>
      <c r="P55" s="113" t="s">
        <v>90</v>
      </c>
      <c r="T55" s="76" t="s">
        <v>186</v>
      </c>
      <c r="U55" s="6"/>
      <c r="V55" s="6"/>
      <c r="W55" s="24"/>
      <c r="X55" s="83">
        <v>20.0</v>
      </c>
      <c r="Y55" s="80">
        <f t="shared" si="24"/>
        <v>20</v>
      </c>
      <c r="Z55" s="72">
        <v>0.0</v>
      </c>
      <c r="AA55" s="72">
        <v>0.0</v>
      </c>
      <c r="AB55" s="72">
        <v>0.0</v>
      </c>
      <c r="AC55" s="72">
        <v>0.0</v>
      </c>
      <c r="AD55" s="72">
        <v>0.0</v>
      </c>
      <c r="AE55" s="86" t="s">
        <v>90</v>
      </c>
      <c r="AG55" s="76" t="s">
        <v>186</v>
      </c>
      <c r="AH55" s="6"/>
      <c r="AI55" s="6"/>
      <c r="AJ55" s="87">
        <v>45838.0</v>
      </c>
      <c r="AK55" s="83">
        <v>20.0</v>
      </c>
      <c r="AL55" s="80">
        <f t="shared" si="25"/>
        <v>20</v>
      </c>
      <c r="AM55" s="72">
        <v>0.0</v>
      </c>
      <c r="AN55" s="72">
        <v>0.0</v>
      </c>
      <c r="AO55" s="72">
        <v>0.0</v>
      </c>
      <c r="AP55" s="72">
        <v>0.0</v>
      </c>
      <c r="AQ55" s="72">
        <v>0.0</v>
      </c>
      <c r="AR55" s="86" t="s">
        <v>90</v>
      </c>
      <c r="AT55" s="76" t="s">
        <v>186</v>
      </c>
      <c r="AU55" s="6"/>
      <c r="AV55" s="6"/>
      <c r="AW55" s="24"/>
      <c r="AX55" s="83">
        <v>20.0</v>
      </c>
      <c r="AY55" s="80">
        <f t="shared" si="26"/>
        <v>20</v>
      </c>
      <c r="AZ55" s="72">
        <v>0.0</v>
      </c>
      <c r="BA55" s="72">
        <v>0.0</v>
      </c>
      <c r="BB55" s="72">
        <v>0.0</v>
      </c>
      <c r="BC55" s="72">
        <v>0.0</v>
      </c>
      <c r="BD55" s="72">
        <v>0.0</v>
      </c>
      <c r="BE55" s="86" t="s">
        <v>90</v>
      </c>
      <c r="BG55" s="6"/>
      <c r="BH55" s="6"/>
      <c r="BI55" s="6"/>
      <c r="BJ55" s="137" t="s">
        <v>40</v>
      </c>
      <c r="BK55" s="120">
        <f t="shared" ref="BK55:BM55" si="31">SUM(M84,AB84,AO84,BB84)</f>
        <v>3</v>
      </c>
      <c r="BL55" s="120">
        <f t="shared" si="31"/>
        <v>2</v>
      </c>
      <c r="BM55" s="120">
        <f t="shared" si="31"/>
        <v>3</v>
      </c>
      <c r="BN55" s="138">
        <f>SUM(BK55:BM55)</f>
        <v>8</v>
      </c>
      <c r="BO55" s="139" t="s">
        <v>187</v>
      </c>
      <c r="BP55" s="6"/>
      <c r="BQ55" s="6"/>
    </row>
    <row r="56">
      <c r="A56" s="135" t="s">
        <v>95</v>
      </c>
      <c r="C56" s="136">
        <v>5.0</v>
      </c>
      <c r="E56" s="98"/>
      <c r="F56" s="6"/>
      <c r="G56" s="6"/>
      <c r="H56" s="24"/>
      <c r="I56" s="100"/>
      <c r="J56" s="97"/>
      <c r="K56" s="72">
        <v>0.0</v>
      </c>
      <c r="L56" s="72">
        <v>0.0</v>
      </c>
      <c r="M56" s="72">
        <v>0.0</v>
      </c>
      <c r="N56" s="72">
        <v>0.0</v>
      </c>
      <c r="O56" s="72">
        <v>0.0</v>
      </c>
      <c r="P56" s="69"/>
      <c r="T56" s="76" t="s">
        <v>188</v>
      </c>
      <c r="U56" s="6"/>
      <c r="V56" s="6"/>
      <c r="W56" s="24"/>
      <c r="X56" s="83">
        <v>20.0</v>
      </c>
      <c r="Y56" s="80">
        <f t="shared" si="24"/>
        <v>20</v>
      </c>
      <c r="Z56" s="72">
        <v>0.0</v>
      </c>
      <c r="AA56" s="72">
        <v>0.0</v>
      </c>
      <c r="AB56" s="72">
        <v>0.0</v>
      </c>
      <c r="AC56" s="72">
        <v>0.0</v>
      </c>
      <c r="AD56" s="72">
        <v>0.0</v>
      </c>
      <c r="AE56" s="86" t="s">
        <v>90</v>
      </c>
      <c r="AG56" s="76" t="s">
        <v>188</v>
      </c>
      <c r="AH56" s="6"/>
      <c r="AI56" s="6"/>
      <c r="AJ56" s="87">
        <v>45838.0</v>
      </c>
      <c r="AK56" s="83">
        <v>20.0</v>
      </c>
      <c r="AL56" s="80">
        <f t="shared" si="25"/>
        <v>20</v>
      </c>
      <c r="AM56" s="72">
        <v>0.0</v>
      </c>
      <c r="AN56" s="72">
        <v>0.0</v>
      </c>
      <c r="AO56" s="72">
        <v>0.0</v>
      </c>
      <c r="AP56" s="72">
        <v>0.0</v>
      </c>
      <c r="AQ56" s="72">
        <v>0.0</v>
      </c>
      <c r="AR56" s="86" t="s">
        <v>90</v>
      </c>
      <c r="AT56" s="76" t="s">
        <v>188</v>
      </c>
      <c r="AU56" s="6"/>
      <c r="AV56" s="6"/>
      <c r="AW56" s="24"/>
      <c r="AX56" s="83">
        <v>20.0</v>
      </c>
      <c r="AY56" s="80">
        <f t="shared" si="26"/>
        <v>20</v>
      </c>
      <c r="AZ56" s="72">
        <v>0.0</v>
      </c>
      <c r="BA56" s="72">
        <v>0.0</v>
      </c>
      <c r="BB56" s="72">
        <v>0.0</v>
      </c>
      <c r="BC56" s="72">
        <v>0.0</v>
      </c>
      <c r="BD56" s="72">
        <v>0.0</v>
      </c>
      <c r="BE56" s="86" t="s">
        <v>90</v>
      </c>
      <c r="BG56" s="6"/>
      <c r="BH56" s="6"/>
      <c r="BI56" s="6"/>
      <c r="BJ56" s="140" t="s">
        <v>189</v>
      </c>
      <c r="BK56" s="120">
        <f t="shared" ref="BK56:BM56" si="32">SUM(M85,AB85,AO85,BB85)</f>
        <v>0</v>
      </c>
      <c r="BL56" s="120">
        <f t="shared" si="32"/>
        <v>0</v>
      </c>
      <c r="BM56" s="120">
        <f t="shared" si="32"/>
        <v>0</v>
      </c>
      <c r="BN56" s="6"/>
      <c r="BO56" s="6"/>
      <c r="BP56" s="6"/>
      <c r="BQ56" s="6"/>
    </row>
    <row r="57">
      <c r="A57" s="135" t="s">
        <v>111</v>
      </c>
      <c r="C57" s="136">
        <v>10.0</v>
      </c>
      <c r="E57" s="98"/>
      <c r="F57" s="6"/>
      <c r="G57" s="6"/>
      <c r="H57" s="24"/>
      <c r="I57" s="100"/>
      <c r="J57" s="97"/>
      <c r="K57" s="72">
        <v>0.0</v>
      </c>
      <c r="L57" s="72">
        <v>0.0</v>
      </c>
      <c r="M57" s="72">
        <v>0.0</v>
      </c>
      <c r="N57" s="72">
        <v>0.0</v>
      </c>
      <c r="O57" s="72">
        <v>0.0</v>
      </c>
      <c r="P57" s="69"/>
      <c r="T57" s="76" t="s">
        <v>190</v>
      </c>
      <c r="U57" s="6"/>
      <c r="V57" s="6"/>
      <c r="W57" s="24"/>
      <c r="X57" s="83">
        <v>20.0</v>
      </c>
      <c r="Y57" s="80">
        <f t="shared" si="24"/>
        <v>20</v>
      </c>
      <c r="Z57" s="72">
        <v>0.0</v>
      </c>
      <c r="AA57" s="72">
        <v>0.0</v>
      </c>
      <c r="AB57" s="72">
        <v>0.0</v>
      </c>
      <c r="AC57" s="72">
        <v>0.0</v>
      </c>
      <c r="AD57" s="72">
        <v>0.0</v>
      </c>
      <c r="AE57" s="86" t="s">
        <v>90</v>
      </c>
      <c r="AG57" s="76" t="s">
        <v>190</v>
      </c>
      <c r="AH57" s="6"/>
      <c r="AI57" s="6"/>
      <c r="AJ57" s="87">
        <v>45838.0</v>
      </c>
      <c r="AK57" s="83">
        <v>20.0</v>
      </c>
      <c r="AL57" s="80">
        <f t="shared" si="25"/>
        <v>20</v>
      </c>
      <c r="AM57" s="72">
        <v>0.0</v>
      </c>
      <c r="AN57" s="72">
        <v>0.0</v>
      </c>
      <c r="AO57" s="72">
        <v>0.0</v>
      </c>
      <c r="AP57" s="72">
        <v>0.0</v>
      </c>
      <c r="AQ57" s="72">
        <v>0.0</v>
      </c>
      <c r="AR57" s="86" t="s">
        <v>90</v>
      </c>
      <c r="AT57" s="76" t="s">
        <v>190</v>
      </c>
      <c r="AU57" s="6"/>
      <c r="AV57" s="6"/>
      <c r="AW57" s="24"/>
      <c r="AX57" s="83">
        <v>20.0</v>
      </c>
      <c r="AY57" s="80">
        <f t="shared" si="26"/>
        <v>20</v>
      </c>
      <c r="AZ57" s="72">
        <v>0.0</v>
      </c>
      <c r="BA57" s="72">
        <v>0.0</v>
      </c>
      <c r="BB57" s="72">
        <v>0.0</v>
      </c>
      <c r="BC57" s="72">
        <v>0.0</v>
      </c>
      <c r="BD57" s="72">
        <v>0.0</v>
      </c>
      <c r="BE57" s="86" t="s">
        <v>90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</row>
    <row r="58">
      <c r="A58" s="135" t="s">
        <v>120</v>
      </c>
      <c r="C58" s="136">
        <v>5.0</v>
      </c>
      <c r="D58" s="75"/>
      <c r="E58" s="98"/>
      <c r="F58" s="6"/>
      <c r="G58" s="6"/>
      <c r="H58" s="24"/>
      <c r="I58" s="100"/>
      <c r="J58" s="97"/>
      <c r="K58" s="72">
        <v>0.0</v>
      </c>
      <c r="L58" s="72">
        <v>0.0</v>
      </c>
      <c r="M58" s="72">
        <v>0.0</v>
      </c>
      <c r="N58" s="72">
        <v>0.0</v>
      </c>
      <c r="O58" s="72">
        <v>0.0</v>
      </c>
      <c r="P58" s="69"/>
      <c r="T58" s="76" t="s">
        <v>191</v>
      </c>
      <c r="U58" s="6"/>
      <c r="V58" s="6"/>
      <c r="W58" s="24"/>
      <c r="X58" s="83">
        <v>20.0</v>
      </c>
      <c r="Y58" s="80">
        <f t="shared" si="24"/>
        <v>20</v>
      </c>
      <c r="Z58" s="72">
        <v>0.0</v>
      </c>
      <c r="AA58" s="72">
        <v>0.0</v>
      </c>
      <c r="AB58" s="72">
        <v>0.0</v>
      </c>
      <c r="AC58" s="72">
        <v>0.0</v>
      </c>
      <c r="AD58" s="72">
        <v>0.0</v>
      </c>
      <c r="AE58" s="86" t="s">
        <v>90</v>
      </c>
      <c r="AG58" s="76" t="s">
        <v>191</v>
      </c>
      <c r="AH58" s="6"/>
      <c r="AI58" s="6"/>
      <c r="AJ58" s="87">
        <v>45838.0</v>
      </c>
      <c r="AK58" s="83">
        <v>20.0</v>
      </c>
      <c r="AL58" s="80">
        <f t="shared" si="25"/>
        <v>20</v>
      </c>
      <c r="AM58" s="72">
        <v>0.0</v>
      </c>
      <c r="AN58" s="72">
        <v>0.0</v>
      </c>
      <c r="AO58" s="72">
        <v>0.0</v>
      </c>
      <c r="AP58" s="72">
        <v>0.0</v>
      </c>
      <c r="AQ58" s="72">
        <v>0.0</v>
      </c>
      <c r="AR58" s="86" t="s">
        <v>90</v>
      </c>
      <c r="AT58" s="76" t="s">
        <v>191</v>
      </c>
      <c r="AU58" s="6"/>
      <c r="AV58" s="6"/>
      <c r="AW58" s="24"/>
      <c r="AX58" s="83">
        <v>20.0</v>
      </c>
      <c r="AY58" s="80">
        <f t="shared" si="26"/>
        <v>20</v>
      </c>
      <c r="AZ58" s="72">
        <v>0.0</v>
      </c>
      <c r="BA58" s="72">
        <v>0.0</v>
      </c>
      <c r="BB58" s="72">
        <v>0.0</v>
      </c>
      <c r="BC58" s="72">
        <v>0.0</v>
      </c>
      <c r="BD58" s="72">
        <v>0.0</v>
      </c>
      <c r="BE58" s="86" t="s">
        <v>90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</row>
    <row r="59">
      <c r="A59" s="135" t="s">
        <v>126</v>
      </c>
      <c r="C59" s="136">
        <v>10.0</v>
      </c>
      <c r="D59" s="75"/>
      <c r="E59" s="98"/>
      <c r="F59" s="6"/>
      <c r="G59" s="6"/>
      <c r="H59" s="24"/>
      <c r="I59" s="100"/>
      <c r="J59" s="97"/>
      <c r="K59" s="72">
        <v>0.0</v>
      </c>
      <c r="L59" s="72">
        <v>0.0</v>
      </c>
      <c r="M59" s="72">
        <v>0.0</v>
      </c>
      <c r="N59" s="72">
        <v>0.0</v>
      </c>
      <c r="O59" s="72">
        <v>0.0</v>
      </c>
      <c r="P59" s="69"/>
      <c r="T59" s="76" t="s">
        <v>192</v>
      </c>
      <c r="U59" s="6"/>
      <c r="V59" s="6"/>
      <c r="W59" s="24"/>
      <c r="X59" s="83">
        <v>20.0</v>
      </c>
      <c r="Y59" s="80">
        <f t="shared" si="24"/>
        <v>20</v>
      </c>
      <c r="Z59" s="72">
        <v>0.0</v>
      </c>
      <c r="AA59" s="72">
        <v>0.0</v>
      </c>
      <c r="AB59" s="72">
        <v>0.0</v>
      </c>
      <c r="AC59" s="72">
        <v>0.0</v>
      </c>
      <c r="AD59" s="72">
        <v>0.0</v>
      </c>
      <c r="AE59" s="86" t="s">
        <v>90</v>
      </c>
      <c r="AG59" s="76" t="s">
        <v>192</v>
      </c>
      <c r="AH59" s="6"/>
      <c r="AI59" s="6"/>
      <c r="AJ59" s="87">
        <v>45838.0</v>
      </c>
      <c r="AK59" s="83">
        <v>20.0</v>
      </c>
      <c r="AL59" s="80">
        <f t="shared" si="25"/>
        <v>20</v>
      </c>
      <c r="AM59" s="72">
        <v>0.0</v>
      </c>
      <c r="AN59" s="72">
        <v>0.0</v>
      </c>
      <c r="AO59" s="72">
        <v>0.0</v>
      </c>
      <c r="AP59" s="72">
        <v>0.0</v>
      </c>
      <c r="AQ59" s="72">
        <v>0.0</v>
      </c>
      <c r="AR59" s="86" t="s">
        <v>90</v>
      </c>
      <c r="AT59" s="76" t="s">
        <v>192</v>
      </c>
      <c r="AU59" s="6"/>
      <c r="AV59" s="6"/>
      <c r="AW59" s="24"/>
      <c r="AX59" s="83">
        <v>20.0</v>
      </c>
      <c r="AY59" s="80">
        <f t="shared" si="26"/>
        <v>20</v>
      </c>
      <c r="AZ59" s="72">
        <v>0.0</v>
      </c>
      <c r="BA59" s="72">
        <v>0.0</v>
      </c>
      <c r="BB59" s="72">
        <v>0.0</v>
      </c>
      <c r="BC59" s="72">
        <v>0.0</v>
      </c>
      <c r="BD59" s="72">
        <v>0.0</v>
      </c>
      <c r="BE59" s="86" t="s">
        <v>90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</row>
    <row r="60">
      <c r="A60" s="135" t="s">
        <v>138</v>
      </c>
      <c r="C60" s="136">
        <v>10.0</v>
      </c>
      <c r="D60" s="75"/>
      <c r="E60" s="6"/>
      <c r="F60" s="6"/>
      <c r="G60" s="6"/>
      <c r="H60" s="6"/>
      <c r="I60" s="102">
        <f>SUM(I50:I59)</f>
        <v>120</v>
      </c>
      <c r="J60" s="125"/>
      <c r="K60" s="103">
        <f t="shared" ref="K60:O60" si="33">SUM(K50:K59)</f>
        <v>20</v>
      </c>
      <c r="L60" s="103">
        <f t="shared" si="33"/>
        <v>0</v>
      </c>
      <c r="M60" s="103">
        <f t="shared" si="33"/>
        <v>0</v>
      </c>
      <c r="N60" s="103">
        <f t="shared" si="33"/>
        <v>0</v>
      </c>
      <c r="O60" s="103">
        <f t="shared" si="33"/>
        <v>0</v>
      </c>
      <c r="P60" s="6"/>
      <c r="T60" s="6"/>
      <c r="U60" s="6"/>
      <c r="V60" s="6"/>
      <c r="W60" s="6"/>
      <c r="X60" s="102">
        <f>SUM(X50:X59)</f>
        <v>200</v>
      </c>
      <c r="Y60" s="125"/>
      <c r="Z60" s="103">
        <f t="shared" ref="Z60:AD60" si="34">SUM(Z50:Z59)</f>
        <v>0</v>
      </c>
      <c r="AA60" s="103">
        <f t="shared" si="34"/>
        <v>0</v>
      </c>
      <c r="AB60" s="103">
        <f t="shared" si="34"/>
        <v>0</v>
      </c>
      <c r="AC60" s="103">
        <f t="shared" si="34"/>
        <v>0</v>
      </c>
      <c r="AD60" s="103">
        <f t="shared" si="34"/>
        <v>0</v>
      </c>
      <c r="AE60" s="6"/>
      <c r="AG60" s="6"/>
      <c r="AH60" s="6"/>
      <c r="AI60" s="6"/>
      <c r="AJ60" s="6"/>
      <c r="AK60" s="102">
        <f>SUM(AK50:AK59)</f>
        <v>200</v>
      </c>
      <c r="AL60" s="125"/>
      <c r="AM60" s="103">
        <f t="shared" ref="AM60:AQ60" si="35">SUM(AM50:AM59)</f>
        <v>0</v>
      </c>
      <c r="AN60" s="103">
        <f t="shared" si="35"/>
        <v>0</v>
      </c>
      <c r="AO60" s="103">
        <f t="shared" si="35"/>
        <v>0</v>
      </c>
      <c r="AP60" s="103">
        <f t="shared" si="35"/>
        <v>0</v>
      </c>
      <c r="AQ60" s="103">
        <f t="shared" si="35"/>
        <v>0</v>
      </c>
      <c r="AR60" s="6"/>
      <c r="AT60" s="6"/>
      <c r="AU60" s="6"/>
      <c r="AV60" s="6"/>
      <c r="AW60" s="6"/>
      <c r="AX60" s="102">
        <f>SUM(AX50:AX59)</f>
        <v>200</v>
      </c>
      <c r="AY60" s="125"/>
      <c r="AZ60" s="103">
        <f t="shared" ref="AZ60:BD60" si="36">SUM(AZ50:AZ59)</f>
        <v>0</v>
      </c>
      <c r="BA60" s="103">
        <f t="shared" si="36"/>
        <v>0</v>
      </c>
      <c r="BB60" s="103">
        <f t="shared" si="36"/>
        <v>0</v>
      </c>
      <c r="BC60" s="103">
        <f t="shared" si="36"/>
        <v>0</v>
      </c>
      <c r="BD60" s="103">
        <f t="shared" si="36"/>
        <v>0</v>
      </c>
      <c r="BE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</row>
    <row r="61">
      <c r="A61" s="135" t="s">
        <v>152</v>
      </c>
      <c r="C61" s="136">
        <v>15.0</v>
      </c>
      <c r="D61" s="75"/>
      <c r="E61" s="6"/>
      <c r="F61" s="6"/>
      <c r="G61" s="6"/>
      <c r="H61" s="105" t="s">
        <v>132</v>
      </c>
      <c r="I61" s="106">
        <f>SUM(K60:O60)</f>
        <v>20</v>
      </c>
      <c r="P61" s="6"/>
      <c r="T61" s="6"/>
      <c r="U61" s="6"/>
      <c r="V61" s="6"/>
      <c r="W61" s="105" t="s">
        <v>132</v>
      </c>
      <c r="X61" s="106">
        <f>SUM(Z60:AD60)</f>
        <v>0</v>
      </c>
      <c r="AE61" s="6"/>
      <c r="AG61" s="6"/>
      <c r="AH61" s="6"/>
      <c r="AI61" s="6"/>
      <c r="AJ61" s="105" t="s">
        <v>132</v>
      </c>
      <c r="AK61" s="106">
        <f>SUM(AM60:AQ60)</f>
        <v>0</v>
      </c>
      <c r="AR61" s="6"/>
      <c r="AT61" s="6"/>
      <c r="AU61" s="6"/>
      <c r="AV61" s="6"/>
      <c r="AW61" s="105" t="s">
        <v>132</v>
      </c>
      <c r="AX61" s="106">
        <f>SUM(AZ60:BD60)</f>
        <v>0</v>
      </c>
      <c r="BE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</row>
    <row r="62">
      <c r="A62" s="135" t="s">
        <v>91</v>
      </c>
      <c r="C62" s="136">
        <v>15.0</v>
      </c>
      <c r="D62" s="75"/>
      <c r="E62" s="6"/>
      <c r="F62" s="2"/>
      <c r="G62" s="6"/>
      <c r="H62" s="6"/>
      <c r="I62" s="6"/>
      <c r="J62" s="6"/>
      <c r="K62" s="6"/>
      <c r="L62" s="6"/>
      <c r="M62" s="6"/>
      <c r="N62" s="6"/>
      <c r="O62" s="6"/>
      <c r="P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</row>
    <row r="63">
      <c r="A63" s="135" t="s">
        <v>168</v>
      </c>
      <c r="C63" s="136">
        <v>15.0</v>
      </c>
      <c r="D63" s="75"/>
      <c r="E63" s="126" t="s">
        <v>193</v>
      </c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60"/>
      <c r="T63" s="58" t="s">
        <v>193</v>
      </c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60"/>
      <c r="AG63" s="58" t="s">
        <v>193</v>
      </c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60"/>
      <c r="AT63" s="58" t="s">
        <v>193</v>
      </c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60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</row>
    <row r="64">
      <c r="A64" s="130" t="s">
        <v>96</v>
      </c>
      <c r="C64" s="127">
        <v>15.0</v>
      </c>
      <c r="D64" s="75"/>
      <c r="E64" s="65" t="s">
        <v>74</v>
      </c>
      <c r="F64" s="66" t="s">
        <v>75</v>
      </c>
      <c r="G64" s="67" t="s">
        <v>76</v>
      </c>
      <c r="H64" s="67" t="s">
        <v>77</v>
      </c>
      <c r="I64" s="67" t="s">
        <v>0</v>
      </c>
      <c r="J64" s="67" t="s">
        <v>78</v>
      </c>
      <c r="K64" s="67" t="s">
        <v>79</v>
      </c>
      <c r="L64" s="67" t="s">
        <v>80</v>
      </c>
      <c r="M64" s="67" t="s">
        <v>81</v>
      </c>
      <c r="N64" s="67" t="s">
        <v>82</v>
      </c>
      <c r="O64" s="67" t="s">
        <v>83</v>
      </c>
      <c r="P64" s="67" t="s">
        <v>37</v>
      </c>
      <c r="T64" s="65" t="s">
        <v>74</v>
      </c>
      <c r="U64" s="66" t="s">
        <v>75</v>
      </c>
      <c r="V64" s="67" t="s">
        <v>76</v>
      </c>
      <c r="W64" s="67" t="s">
        <v>77</v>
      </c>
      <c r="X64" s="67" t="s">
        <v>0</v>
      </c>
      <c r="Y64" s="67" t="s">
        <v>78</v>
      </c>
      <c r="Z64" s="67" t="s">
        <v>79</v>
      </c>
      <c r="AA64" s="67" t="s">
        <v>80</v>
      </c>
      <c r="AB64" s="67" t="s">
        <v>81</v>
      </c>
      <c r="AC64" s="67" t="s">
        <v>82</v>
      </c>
      <c r="AD64" s="67" t="s">
        <v>83</v>
      </c>
      <c r="AE64" s="67" t="s">
        <v>37</v>
      </c>
      <c r="AG64" s="65" t="s">
        <v>74</v>
      </c>
      <c r="AH64" s="66" t="s">
        <v>75</v>
      </c>
      <c r="AI64" s="67" t="s">
        <v>76</v>
      </c>
      <c r="AJ64" s="67" t="s">
        <v>77</v>
      </c>
      <c r="AK64" s="67" t="s">
        <v>0</v>
      </c>
      <c r="AL64" s="67" t="s">
        <v>78</v>
      </c>
      <c r="AM64" s="67" t="s">
        <v>79</v>
      </c>
      <c r="AN64" s="67" t="s">
        <v>80</v>
      </c>
      <c r="AO64" s="67" t="s">
        <v>81</v>
      </c>
      <c r="AP64" s="67" t="s">
        <v>82</v>
      </c>
      <c r="AQ64" s="67" t="s">
        <v>83</v>
      </c>
      <c r="AR64" s="67" t="s">
        <v>37</v>
      </c>
      <c r="AT64" s="65" t="s">
        <v>74</v>
      </c>
      <c r="AU64" s="66" t="s">
        <v>75</v>
      </c>
      <c r="AV64" s="67" t="s">
        <v>76</v>
      </c>
      <c r="AW64" s="67" t="s">
        <v>77</v>
      </c>
      <c r="AX64" s="67" t="s">
        <v>0</v>
      </c>
      <c r="AY64" s="67" t="s">
        <v>78</v>
      </c>
      <c r="AZ64" s="67" t="s">
        <v>79</v>
      </c>
      <c r="BA64" s="67" t="s">
        <v>80</v>
      </c>
      <c r="BB64" s="67" t="s">
        <v>81</v>
      </c>
      <c r="BC64" s="67" t="s">
        <v>82</v>
      </c>
      <c r="BD64" s="67" t="s">
        <v>83</v>
      </c>
      <c r="BE64" s="67" t="s">
        <v>37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</row>
    <row r="65">
      <c r="A65" s="130" t="s">
        <v>121</v>
      </c>
      <c r="C65" s="127">
        <v>10.0</v>
      </c>
      <c r="D65" s="75"/>
      <c r="E65" s="76" t="s">
        <v>194</v>
      </c>
      <c r="F65" s="6"/>
      <c r="G65" s="6"/>
      <c r="H65" s="87">
        <v>45866.0</v>
      </c>
      <c r="I65" s="83">
        <v>20.0</v>
      </c>
      <c r="J65" s="80">
        <f t="shared" ref="J65:J74" si="37">(I65-(K65+L65+M65+N65+O65))</f>
        <v>20</v>
      </c>
      <c r="K65" s="72">
        <v>0.0</v>
      </c>
      <c r="L65" s="72">
        <v>0.0</v>
      </c>
      <c r="M65" s="72">
        <v>0.0</v>
      </c>
      <c r="N65" s="72">
        <v>0.0</v>
      </c>
      <c r="O65" s="72">
        <v>0.0</v>
      </c>
      <c r="P65" s="101"/>
      <c r="T65" s="76" t="s">
        <v>194</v>
      </c>
      <c r="U65" s="6"/>
      <c r="V65" s="6"/>
      <c r="W65" s="87">
        <v>45901.0</v>
      </c>
      <c r="X65" s="79">
        <v>20.0</v>
      </c>
      <c r="Y65" s="80">
        <f t="shared" ref="Y65:Y74" si="38">(X65-(Z65+AA65+AB65+AC65+AD65))</f>
        <v>20</v>
      </c>
      <c r="Z65" s="72">
        <v>0.0</v>
      </c>
      <c r="AA65" s="72">
        <v>0.0</v>
      </c>
      <c r="AB65" s="72">
        <v>0.0</v>
      </c>
      <c r="AC65" s="72">
        <v>0.0</v>
      </c>
      <c r="AD65" s="72">
        <v>0.0</v>
      </c>
      <c r="AE65" s="86" t="s">
        <v>90</v>
      </c>
      <c r="AG65" s="76" t="s">
        <v>194</v>
      </c>
      <c r="AH65" s="6"/>
      <c r="AI65" s="6"/>
      <c r="AJ65" s="87">
        <v>45838.0</v>
      </c>
      <c r="AK65" s="79">
        <v>20.0</v>
      </c>
      <c r="AL65" s="80">
        <f t="shared" ref="AL65:AL74" si="39">(AK65-(AM65+AN65+AO65+AP65+AQ65))</f>
        <v>20</v>
      </c>
      <c r="AM65" s="72">
        <v>0.0</v>
      </c>
      <c r="AN65" s="72">
        <v>0.0</v>
      </c>
      <c r="AO65" s="72">
        <v>0.0</v>
      </c>
      <c r="AP65" s="72">
        <v>0.0</v>
      </c>
      <c r="AQ65" s="72">
        <v>0.0</v>
      </c>
      <c r="AR65" s="86" t="s">
        <v>90</v>
      </c>
      <c r="AT65" s="76" t="s">
        <v>194</v>
      </c>
      <c r="AU65" s="6"/>
      <c r="AV65" s="6"/>
      <c r="AW65" s="87">
        <v>45838.0</v>
      </c>
      <c r="AX65" s="83">
        <v>20.0</v>
      </c>
      <c r="AY65" s="80">
        <f t="shared" ref="AY65:AY74" si="40">(AX65-(AZ65+BA65+BB65+BC65+BD65))</f>
        <v>20</v>
      </c>
      <c r="AZ65" s="72">
        <v>0.0</v>
      </c>
      <c r="BA65" s="72">
        <v>0.0</v>
      </c>
      <c r="BB65" s="72">
        <v>0.0</v>
      </c>
      <c r="BC65" s="72">
        <v>0.0</v>
      </c>
      <c r="BD65" s="72">
        <v>0.0</v>
      </c>
      <c r="BE65" s="86" t="s">
        <v>90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</row>
    <row r="66">
      <c r="A66" s="130" t="s">
        <v>139</v>
      </c>
      <c r="C66" s="127">
        <v>5.0</v>
      </c>
      <c r="D66" s="75"/>
      <c r="E66" s="76" t="s">
        <v>195</v>
      </c>
      <c r="F66" s="6"/>
      <c r="G66" s="6"/>
      <c r="H66" s="24"/>
      <c r="I66" s="83">
        <v>20.0</v>
      </c>
      <c r="J66" s="80">
        <f t="shared" si="37"/>
        <v>20</v>
      </c>
      <c r="K66" s="72">
        <v>0.0</v>
      </c>
      <c r="L66" s="72">
        <v>0.0</v>
      </c>
      <c r="M66" s="72">
        <v>0.0</v>
      </c>
      <c r="N66" s="72">
        <v>0.0</v>
      </c>
      <c r="O66" s="72">
        <v>0.0</v>
      </c>
      <c r="P66" s="101"/>
      <c r="T66" s="76" t="s">
        <v>195</v>
      </c>
      <c r="U66" s="6"/>
      <c r="V66" s="6"/>
      <c r="W66" s="24"/>
      <c r="X66" s="79">
        <v>20.0</v>
      </c>
      <c r="Y66" s="80">
        <f t="shared" si="38"/>
        <v>20</v>
      </c>
      <c r="Z66" s="72">
        <v>0.0</v>
      </c>
      <c r="AA66" s="72">
        <v>0.0</v>
      </c>
      <c r="AB66" s="72">
        <v>0.0</v>
      </c>
      <c r="AC66" s="72">
        <v>0.0</v>
      </c>
      <c r="AD66" s="72">
        <v>0.0</v>
      </c>
      <c r="AE66" s="86" t="s">
        <v>90</v>
      </c>
      <c r="AG66" s="76" t="s">
        <v>195</v>
      </c>
      <c r="AH66" s="6"/>
      <c r="AI66" s="6"/>
      <c r="AJ66" s="87">
        <v>45838.0</v>
      </c>
      <c r="AK66" s="79">
        <v>20.0</v>
      </c>
      <c r="AL66" s="80">
        <f t="shared" si="39"/>
        <v>20</v>
      </c>
      <c r="AM66" s="72">
        <v>0.0</v>
      </c>
      <c r="AN66" s="72">
        <v>0.0</v>
      </c>
      <c r="AO66" s="72">
        <v>0.0</v>
      </c>
      <c r="AP66" s="72">
        <v>0.0</v>
      </c>
      <c r="AQ66" s="72">
        <v>0.0</v>
      </c>
      <c r="AR66" s="86" t="s">
        <v>90</v>
      </c>
      <c r="AT66" s="76" t="s">
        <v>195</v>
      </c>
      <c r="AU66" s="6"/>
      <c r="AV66" s="6"/>
      <c r="AW66" s="24"/>
      <c r="AX66" s="83">
        <v>20.0</v>
      </c>
      <c r="AY66" s="80">
        <f t="shared" si="40"/>
        <v>20</v>
      </c>
      <c r="AZ66" s="72">
        <v>0.0</v>
      </c>
      <c r="BA66" s="72">
        <v>0.0</v>
      </c>
      <c r="BB66" s="72">
        <v>0.0</v>
      </c>
      <c r="BC66" s="72">
        <v>0.0</v>
      </c>
      <c r="BD66" s="72">
        <v>0.0</v>
      </c>
      <c r="BE66" s="86" t="s">
        <v>90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</row>
    <row r="67">
      <c r="A67" s="130" t="s">
        <v>196</v>
      </c>
      <c r="C67" s="127">
        <v>10.0</v>
      </c>
      <c r="D67" s="75"/>
      <c r="E67" s="76" t="s">
        <v>197</v>
      </c>
      <c r="F67" s="6"/>
      <c r="G67" s="6"/>
      <c r="H67" s="24"/>
      <c r="I67" s="83">
        <v>20.0</v>
      </c>
      <c r="J67" s="80">
        <f t="shared" si="37"/>
        <v>20</v>
      </c>
      <c r="K67" s="72">
        <v>0.0</v>
      </c>
      <c r="L67" s="72">
        <v>0.0</v>
      </c>
      <c r="M67" s="72">
        <v>0.0</v>
      </c>
      <c r="N67" s="72">
        <v>0.0</v>
      </c>
      <c r="O67" s="72">
        <v>0.0</v>
      </c>
      <c r="P67" s="101"/>
      <c r="T67" s="76" t="s">
        <v>197</v>
      </c>
      <c r="U67" s="6"/>
      <c r="V67" s="6"/>
      <c r="W67" s="24"/>
      <c r="X67" s="79">
        <v>20.0</v>
      </c>
      <c r="Y67" s="80">
        <f t="shared" si="38"/>
        <v>20</v>
      </c>
      <c r="Z67" s="72">
        <v>0.0</v>
      </c>
      <c r="AA67" s="72">
        <v>0.0</v>
      </c>
      <c r="AB67" s="72">
        <v>0.0</v>
      </c>
      <c r="AC67" s="72">
        <v>0.0</v>
      </c>
      <c r="AD67" s="72">
        <v>0.0</v>
      </c>
      <c r="AE67" s="86" t="s">
        <v>90</v>
      </c>
      <c r="AG67" s="76" t="s">
        <v>197</v>
      </c>
      <c r="AH67" s="6"/>
      <c r="AI67" s="6"/>
      <c r="AJ67" s="87">
        <v>45838.0</v>
      </c>
      <c r="AK67" s="79">
        <v>20.0</v>
      </c>
      <c r="AL67" s="80">
        <f t="shared" si="39"/>
        <v>20</v>
      </c>
      <c r="AM67" s="72">
        <v>0.0</v>
      </c>
      <c r="AN67" s="72">
        <v>0.0</v>
      </c>
      <c r="AO67" s="72">
        <v>0.0</v>
      </c>
      <c r="AP67" s="72">
        <v>0.0</v>
      </c>
      <c r="AQ67" s="72">
        <v>0.0</v>
      </c>
      <c r="AR67" s="33" t="s">
        <v>90</v>
      </c>
      <c r="AT67" s="76" t="s">
        <v>197</v>
      </c>
      <c r="AU67" s="6"/>
      <c r="AV67" s="6"/>
      <c r="AW67" s="24"/>
      <c r="AX67" s="83">
        <v>20.0</v>
      </c>
      <c r="AY67" s="80">
        <f t="shared" si="40"/>
        <v>20</v>
      </c>
      <c r="AZ67" s="72">
        <v>0.0</v>
      </c>
      <c r="BA67" s="72">
        <v>0.0</v>
      </c>
      <c r="BB67" s="72">
        <v>0.0</v>
      </c>
      <c r="BC67" s="72">
        <v>0.0</v>
      </c>
      <c r="BD67" s="72">
        <v>0.0</v>
      </c>
      <c r="BE67" s="33" t="s">
        <v>90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</row>
    <row r="68">
      <c r="A68" s="130" t="s">
        <v>161</v>
      </c>
      <c r="C68" s="127">
        <v>5.0</v>
      </c>
      <c r="D68" s="75"/>
      <c r="E68" s="76" t="s">
        <v>183</v>
      </c>
      <c r="F68" s="6"/>
      <c r="G68" s="6"/>
      <c r="H68" s="24"/>
      <c r="I68" s="83">
        <v>20.0</v>
      </c>
      <c r="J68" s="80">
        <f t="shared" si="37"/>
        <v>20</v>
      </c>
      <c r="K68" s="72">
        <v>0.0</v>
      </c>
      <c r="L68" s="72">
        <v>0.0</v>
      </c>
      <c r="M68" s="72">
        <v>0.0</v>
      </c>
      <c r="N68" s="72">
        <v>0.0</v>
      </c>
      <c r="O68" s="72">
        <v>0.0</v>
      </c>
      <c r="P68" s="101"/>
      <c r="T68" s="76" t="s">
        <v>198</v>
      </c>
      <c r="U68" s="6"/>
      <c r="V68" s="6"/>
      <c r="W68" s="24"/>
      <c r="X68" s="79">
        <v>20.0</v>
      </c>
      <c r="Y68" s="80">
        <f t="shared" si="38"/>
        <v>20</v>
      </c>
      <c r="Z68" s="72">
        <v>0.0</v>
      </c>
      <c r="AA68" s="72">
        <v>0.0</v>
      </c>
      <c r="AB68" s="72">
        <v>0.0</v>
      </c>
      <c r="AC68" s="72">
        <v>0.0</v>
      </c>
      <c r="AD68" s="72">
        <v>0.0</v>
      </c>
      <c r="AE68" s="86" t="s">
        <v>90</v>
      </c>
      <c r="AG68" s="76" t="s">
        <v>198</v>
      </c>
      <c r="AH68" s="6"/>
      <c r="AI68" s="6"/>
      <c r="AJ68" s="87">
        <v>45838.0</v>
      </c>
      <c r="AK68" s="79">
        <v>20.0</v>
      </c>
      <c r="AL68" s="80">
        <f t="shared" si="39"/>
        <v>20</v>
      </c>
      <c r="AM68" s="72">
        <v>0.0</v>
      </c>
      <c r="AN68" s="72">
        <v>0.0</v>
      </c>
      <c r="AO68" s="72">
        <v>0.0</v>
      </c>
      <c r="AP68" s="72">
        <v>0.0</v>
      </c>
      <c r="AQ68" s="72">
        <v>0.0</v>
      </c>
      <c r="AR68" s="86" t="s">
        <v>90</v>
      </c>
      <c r="AT68" s="76" t="s">
        <v>198</v>
      </c>
      <c r="AU68" s="6"/>
      <c r="AV68" s="6"/>
      <c r="AW68" s="24"/>
      <c r="AX68" s="83">
        <v>20.0</v>
      </c>
      <c r="AY68" s="80">
        <f t="shared" si="40"/>
        <v>20</v>
      </c>
      <c r="AZ68" s="72">
        <v>0.0</v>
      </c>
      <c r="BA68" s="72">
        <v>0.0</v>
      </c>
      <c r="BB68" s="72">
        <v>0.0</v>
      </c>
      <c r="BC68" s="72">
        <v>0.0</v>
      </c>
      <c r="BD68" s="72">
        <v>0.0</v>
      </c>
      <c r="BE68" s="86" t="s">
        <v>90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</row>
    <row r="69">
      <c r="A69" s="130" t="s">
        <v>177</v>
      </c>
      <c r="B69" s="114"/>
      <c r="C69" s="127">
        <v>10.0</v>
      </c>
      <c r="E69" s="76" t="s">
        <v>199</v>
      </c>
      <c r="F69" s="6"/>
      <c r="G69" s="6"/>
      <c r="H69" s="24"/>
      <c r="I69" s="83">
        <v>20.0</v>
      </c>
      <c r="J69" s="80">
        <f t="shared" si="37"/>
        <v>20</v>
      </c>
      <c r="K69" s="72">
        <v>0.0</v>
      </c>
      <c r="L69" s="72">
        <v>0.0</v>
      </c>
      <c r="M69" s="72">
        <v>0.0</v>
      </c>
      <c r="N69" s="72">
        <v>0.0</v>
      </c>
      <c r="O69" s="72">
        <v>0.0</v>
      </c>
      <c r="P69" s="101"/>
      <c r="T69" s="76" t="s">
        <v>199</v>
      </c>
      <c r="U69" s="6"/>
      <c r="V69" s="6"/>
      <c r="W69" s="24"/>
      <c r="X69" s="79">
        <v>20.0</v>
      </c>
      <c r="Y69" s="80">
        <f t="shared" si="38"/>
        <v>20</v>
      </c>
      <c r="Z69" s="72">
        <v>0.0</v>
      </c>
      <c r="AA69" s="72">
        <v>0.0</v>
      </c>
      <c r="AB69" s="72">
        <v>0.0</v>
      </c>
      <c r="AC69" s="72">
        <v>0.0</v>
      </c>
      <c r="AD69" s="72">
        <v>0.0</v>
      </c>
      <c r="AE69" s="86" t="s">
        <v>90</v>
      </c>
      <c r="AG69" s="76" t="s">
        <v>199</v>
      </c>
      <c r="AH69" s="6"/>
      <c r="AI69" s="6"/>
      <c r="AJ69" s="87">
        <v>45838.0</v>
      </c>
      <c r="AK69" s="79">
        <v>20.0</v>
      </c>
      <c r="AL69" s="80">
        <f t="shared" si="39"/>
        <v>20</v>
      </c>
      <c r="AM69" s="72">
        <v>0.0</v>
      </c>
      <c r="AN69" s="72">
        <v>0.0</v>
      </c>
      <c r="AO69" s="72">
        <v>0.0</v>
      </c>
      <c r="AP69" s="72">
        <v>0.0</v>
      </c>
      <c r="AQ69" s="72">
        <v>0.0</v>
      </c>
      <c r="AR69" s="33" t="s">
        <v>90</v>
      </c>
      <c r="AT69" s="76" t="s">
        <v>199</v>
      </c>
      <c r="AU69" s="6"/>
      <c r="AV69" s="6"/>
      <c r="AW69" s="24"/>
      <c r="AX69" s="83">
        <v>20.0</v>
      </c>
      <c r="AY69" s="80">
        <f t="shared" si="40"/>
        <v>20</v>
      </c>
      <c r="AZ69" s="72">
        <v>0.0</v>
      </c>
      <c r="BA69" s="72">
        <v>0.0</v>
      </c>
      <c r="BB69" s="72">
        <v>0.0</v>
      </c>
      <c r="BC69" s="72">
        <v>0.0</v>
      </c>
      <c r="BD69" s="72">
        <v>0.0</v>
      </c>
      <c r="BE69" s="33" t="s">
        <v>90</v>
      </c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</row>
    <row r="70">
      <c r="A70" s="135" t="s">
        <v>106</v>
      </c>
      <c r="C70" s="136">
        <v>10.0</v>
      </c>
      <c r="E70" s="76" t="s">
        <v>200</v>
      </c>
      <c r="F70" s="6"/>
      <c r="G70" s="6"/>
      <c r="H70" s="24"/>
      <c r="I70" s="83">
        <v>20.0</v>
      </c>
      <c r="J70" s="80">
        <f t="shared" si="37"/>
        <v>20</v>
      </c>
      <c r="K70" s="72">
        <v>0.0</v>
      </c>
      <c r="L70" s="72">
        <v>0.0</v>
      </c>
      <c r="M70" s="72">
        <v>0.0</v>
      </c>
      <c r="N70" s="72">
        <v>0.0</v>
      </c>
      <c r="O70" s="72">
        <v>0.0</v>
      </c>
      <c r="P70" s="101"/>
      <c r="T70" s="76" t="s">
        <v>200</v>
      </c>
      <c r="U70" s="6"/>
      <c r="V70" s="6"/>
      <c r="W70" s="24"/>
      <c r="X70" s="79">
        <v>20.0</v>
      </c>
      <c r="Y70" s="80">
        <f t="shared" si="38"/>
        <v>20</v>
      </c>
      <c r="Z70" s="72">
        <v>0.0</v>
      </c>
      <c r="AA70" s="72">
        <v>0.0</v>
      </c>
      <c r="AB70" s="72">
        <v>0.0</v>
      </c>
      <c r="AC70" s="72">
        <v>0.0</v>
      </c>
      <c r="AD70" s="72">
        <v>0.0</v>
      </c>
      <c r="AE70" s="86" t="s">
        <v>90</v>
      </c>
      <c r="AG70" s="76" t="s">
        <v>200</v>
      </c>
      <c r="AH70" s="6"/>
      <c r="AI70" s="6"/>
      <c r="AJ70" s="87">
        <v>45838.0</v>
      </c>
      <c r="AK70" s="79">
        <v>20.0</v>
      </c>
      <c r="AL70" s="80">
        <f t="shared" si="39"/>
        <v>20</v>
      </c>
      <c r="AM70" s="72">
        <v>0.0</v>
      </c>
      <c r="AN70" s="72">
        <v>0.0</v>
      </c>
      <c r="AO70" s="72">
        <v>0.0</v>
      </c>
      <c r="AP70" s="72">
        <v>0.0</v>
      </c>
      <c r="AQ70" s="72">
        <v>0.0</v>
      </c>
      <c r="AR70" s="86" t="s">
        <v>90</v>
      </c>
      <c r="AT70" s="76" t="s">
        <v>200</v>
      </c>
      <c r="AU70" s="6"/>
      <c r="AV70" s="6"/>
      <c r="AW70" s="24"/>
      <c r="AX70" s="83">
        <v>20.0</v>
      </c>
      <c r="AY70" s="80">
        <f t="shared" si="40"/>
        <v>20</v>
      </c>
      <c r="AZ70" s="72">
        <v>0.0</v>
      </c>
      <c r="BA70" s="72">
        <v>0.0</v>
      </c>
      <c r="BB70" s="72">
        <v>0.0</v>
      </c>
      <c r="BC70" s="72">
        <v>0.0</v>
      </c>
      <c r="BD70" s="72">
        <v>0.0</v>
      </c>
      <c r="BE70" s="86" t="s">
        <v>90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</row>
    <row r="71">
      <c r="A71" s="135" t="s">
        <v>117</v>
      </c>
      <c r="C71" s="136">
        <v>10.0</v>
      </c>
      <c r="E71" s="76" t="s">
        <v>201</v>
      </c>
      <c r="F71" s="6"/>
      <c r="G71" s="6"/>
      <c r="H71" s="24"/>
      <c r="I71" s="83">
        <v>20.0</v>
      </c>
      <c r="J71" s="80">
        <f t="shared" si="37"/>
        <v>20</v>
      </c>
      <c r="K71" s="72">
        <v>0.0</v>
      </c>
      <c r="L71" s="72">
        <v>0.0</v>
      </c>
      <c r="M71" s="72">
        <v>0.0</v>
      </c>
      <c r="N71" s="72">
        <v>0.0</v>
      </c>
      <c r="O71" s="72">
        <v>0.0</v>
      </c>
      <c r="P71" s="101"/>
      <c r="T71" s="76" t="s">
        <v>201</v>
      </c>
      <c r="U71" s="6"/>
      <c r="V71" s="6"/>
      <c r="W71" s="24"/>
      <c r="X71" s="79">
        <v>20.0</v>
      </c>
      <c r="Y71" s="80">
        <f t="shared" si="38"/>
        <v>20</v>
      </c>
      <c r="Z71" s="72">
        <v>0.0</v>
      </c>
      <c r="AA71" s="72">
        <v>0.0</v>
      </c>
      <c r="AB71" s="72">
        <v>0.0</v>
      </c>
      <c r="AC71" s="72">
        <v>0.0</v>
      </c>
      <c r="AD71" s="72">
        <v>0.0</v>
      </c>
      <c r="AE71" s="86" t="s">
        <v>90</v>
      </c>
      <c r="AG71" s="76" t="s">
        <v>201</v>
      </c>
      <c r="AH71" s="6"/>
      <c r="AI71" s="6"/>
      <c r="AJ71" s="87">
        <v>45838.0</v>
      </c>
      <c r="AK71" s="79">
        <v>20.0</v>
      </c>
      <c r="AL71" s="80">
        <f t="shared" si="39"/>
        <v>20</v>
      </c>
      <c r="AM71" s="72">
        <v>0.0</v>
      </c>
      <c r="AN71" s="72">
        <v>0.0</v>
      </c>
      <c r="AO71" s="72">
        <v>0.0</v>
      </c>
      <c r="AP71" s="72">
        <v>0.0</v>
      </c>
      <c r="AQ71" s="72">
        <v>0.0</v>
      </c>
      <c r="AR71" s="33" t="s">
        <v>90</v>
      </c>
      <c r="AT71" s="76" t="s">
        <v>201</v>
      </c>
      <c r="AU71" s="6"/>
      <c r="AV71" s="6"/>
      <c r="AW71" s="24"/>
      <c r="AX71" s="83">
        <v>20.0</v>
      </c>
      <c r="AY71" s="80">
        <f t="shared" si="40"/>
        <v>20</v>
      </c>
      <c r="AZ71" s="72">
        <v>0.0</v>
      </c>
      <c r="BA71" s="72">
        <v>0.0</v>
      </c>
      <c r="BB71" s="72">
        <v>0.0</v>
      </c>
      <c r="BC71" s="72">
        <v>0.0</v>
      </c>
      <c r="BD71" s="72">
        <v>0.0</v>
      </c>
      <c r="BE71" s="33" t="s">
        <v>90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</row>
    <row r="72">
      <c r="A72" s="135" t="s">
        <v>144</v>
      </c>
      <c r="C72" s="136">
        <v>10.0</v>
      </c>
      <c r="E72" s="76" t="s">
        <v>202</v>
      </c>
      <c r="F72" s="6"/>
      <c r="G72" s="6"/>
      <c r="H72" s="24"/>
      <c r="I72" s="83">
        <v>20.0</v>
      </c>
      <c r="J72" s="80">
        <f t="shared" si="37"/>
        <v>20</v>
      </c>
      <c r="K72" s="72">
        <v>0.0</v>
      </c>
      <c r="L72" s="72">
        <v>0.0</v>
      </c>
      <c r="M72" s="72">
        <v>0.0</v>
      </c>
      <c r="N72" s="72">
        <v>0.0</v>
      </c>
      <c r="O72" s="72">
        <v>0.0</v>
      </c>
      <c r="P72" s="101"/>
      <c r="T72" s="76" t="s">
        <v>202</v>
      </c>
      <c r="U72" s="6"/>
      <c r="V72" s="6"/>
      <c r="W72" s="24"/>
      <c r="X72" s="79">
        <v>20.0</v>
      </c>
      <c r="Y72" s="80">
        <f t="shared" si="38"/>
        <v>20</v>
      </c>
      <c r="Z72" s="72">
        <v>0.0</v>
      </c>
      <c r="AA72" s="72">
        <v>0.0</v>
      </c>
      <c r="AB72" s="72">
        <v>0.0</v>
      </c>
      <c r="AC72" s="72">
        <v>0.0</v>
      </c>
      <c r="AD72" s="72">
        <v>0.0</v>
      </c>
      <c r="AE72" s="86" t="s">
        <v>90</v>
      </c>
      <c r="AG72" s="76" t="s">
        <v>202</v>
      </c>
      <c r="AH72" s="6"/>
      <c r="AI72" s="6"/>
      <c r="AJ72" s="87">
        <v>45838.0</v>
      </c>
      <c r="AK72" s="79">
        <v>20.0</v>
      </c>
      <c r="AL72" s="80">
        <f t="shared" si="39"/>
        <v>20</v>
      </c>
      <c r="AM72" s="72">
        <v>0.0</v>
      </c>
      <c r="AN72" s="72">
        <v>0.0</v>
      </c>
      <c r="AO72" s="72">
        <v>0.0</v>
      </c>
      <c r="AP72" s="72">
        <v>0.0</v>
      </c>
      <c r="AQ72" s="72">
        <v>0.0</v>
      </c>
      <c r="AR72" s="86" t="s">
        <v>90</v>
      </c>
      <c r="AT72" s="76" t="s">
        <v>202</v>
      </c>
      <c r="AU72" s="6"/>
      <c r="AV72" s="6"/>
      <c r="AW72" s="24"/>
      <c r="AX72" s="83">
        <v>20.0</v>
      </c>
      <c r="AY72" s="80">
        <f t="shared" si="40"/>
        <v>20</v>
      </c>
      <c r="AZ72" s="84">
        <v>0.0</v>
      </c>
      <c r="BA72" s="72">
        <v>0.0</v>
      </c>
      <c r="BB72" s="72">
        <v>0.0</v>
      </c>
      <c r="BC72" s="72">
        <v>0.0</v>
      </c>
      <c r="BD72" s="72">
        <v>0.0</v>
      </c>
      <c r="BE72" s="86" t="s">
        <v>90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</row>
    <row r="73">
      <c r="A73" s="135" t="s">
        <v>153</v>
      </c>
      <c r="C73" s="136">
        <v>10.0</v>
      </c>
      <c r="E73" s="76" t="s">
        <v>203</v>
      </c>
      <c r="F73" s="6"/>
      <c r="G73" s="6"/>
      <c r="H73" s="24"/>
      <c r="I73" s="83">
        <v>20.0</v>
      </c>
      <c r="J73" s="80">
        <f t="shared" si="37"/>
        <v>20</v>
      </c>
      <c r="K73" s="72">
        <v>0.0</v>
      </c>
      <c r="L73" s="72">
        <v>0.0</v>
      </c>
      <c r="M73" s="72">
        <v>0.0</v>
      </c>
      <c r="N73" s="72">
        <v>0.0</v>
      </c>
      <c r="O73" s="72">
        <v>0.0</v>
      </c>
      <c r="P73" s="69"/>
      <c r="T73" s="76" t="s">
        <v>203</v>
      </c>
      <c r="U73" s="6"/>
      <c r="V73" s="6"/>
      <c r="W73" s="24"/>
      <c r="X73" s="83">
        <v>20.0</v>
      </c>
      <c r="Y73" s="80">
        <f t="shared" si="38"/>
        <v>20</v>
      </c>
      <c r="Z73" s="72">
        <v>0.0</v>
      </c>
      <c r="AA73" s="72">
        <v>0.0</v>
      </c>
      <c r="AB73" s="72">
        <v>0.0</v>
      </c>
      <c r="AC73" s="72">
        <v>0.0</v>
      </c>
      <c r="AD73" s="72">
        <v>0.0</v>
      </c>
      <c r="AE73" s="86" t="s">
        <v>90</v>
      </c>
      <c r="AG73" s="76" t="s">
        <v>203</v>
      </c>
      <c r="AH73" s="6"/>
      <c r="AI73" s="6"/>
      <c r="AJ73" s="87">
        <v>45838.0</v>
      </c>
      <c r="AK73" s="83">
        <v>20.0</v>
      </c>
      <c r="AL73" s="80">
        <f t="shared" si="39"/>
        <v>20</v>
      </c>
      <c r="AM73" s="72">
        <v>0.0</v>
      </c>
      <c r="AN73" s="72">
        <v>0.0</v>
      </c>
      <c r="AO73" s="72">
        <v>0.0</v>
      </c>
      <c r="AP73" s="72">
        <v>0.0</v>
      </c>
      <c r="AQ73" s="72">
        <v>0.0</v>
      </c>
      <c r="AR73" s="86" t="s">
        <v>90</v>
      </c>
      <c r="AT73" s="76" t="s">
        <v>203</v>
      </c>
      <c r="AU73" s="6"/>
      <c r="AV73" s="6"/>
      <c r="AW73" s="24"/>
      <c r="AX73" s="83">
        <v>20.0</v>
      </c>
      <c r="AY73" s="80">
        <f t="shared" si="40"/>
        <v>20</v>
      </c>
      <c r="AZ73" s="72">
        <v>0.0</v>
      </c>
      <c r="BA73" s="72">
        <v>0.0</v>
      </c>
      <c r="BB73" s="72">
        <v>0.0</v>
      </c>
      <c r="BC73" s="72">
        <v>0.0</v>
      </c>
      <c r="BD73" s="72">
        <v>0.0</v>
      </c>
      <c r="BE73" s="86" t="s">
        <v>90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</row>
    <row r="74">
      <c r="A74" s="135" t="s">
        <v>164</v>
      </c>
      <c r="C74" s="136">
        <v>10.0</v>
      </c>
      <c r="E74" s="76" t="s">
        <v>204</v>
      </c>
      <c r="F74" s="6"/>
      <c r="G74" s="6"/>
      <c r="H74" s="24"/>
      <c r="I74" s="83">
        <v>20.0</v>
      </c>
      <c r="J74" s="80">
        <f t="shared" si="37"/>
        <v>20</v>
      </c>
      <c r="K74" s="72">
        <v>0.0</v>
      </c>
      <c r="L74" s="72">
        <v>0.0</v>
      </c>
      <c r="M74" s="72">
        <v>0.0</v>
      </c>
      <c r="N74" s="72">
        <v>0.0</v>
      </c>
      <c r="O74" s="72">
        <v>0.0</v>
      </c>
      <c r="P74" s="69"/>
      <c r="T74" s="76" t="s">
        <v>204</v>
      </c>
      <c r="U74" s="6"/>
      <c r="V74" s="6"/>
      <c r="W74" s="24"/>
      <c r="X74" s="83">
        <v>20.0</v>
      </c>
      <c r="Y74" s="80">
        <f t="shared" si="38"/>
        <v>20</v>
      </c>
      <c r="Z74" s="72">
        <v>0.0</v>
      </c>
      <c r="AA74" s="72">
        <v>0.0</v>
      </c>
      <c r="AB74" s="72">
        <v>0.0</v>
      </c>
      <c r="AC74" s="72">
        <v>0.0</v>
      </c>
      <c r="AD74" s="72">
        <v>0.0</v>
      </c>
      <c r="AE74" s="86" t="s">
        <v>90</v>
      </c>
      <c r="AG74" s="76" t="s">
        <v>204</v>
      </c>
      <c r="AH74" s="6"/>
      <c r="AI74" s="6"/>
      <c r="AJ74" s="87">
        <v>45838.0</v>
      </c>
      <c r="AK74" s="83">
        <v>20.0</v>
      </c>
      <c r="AL74" s="80">
        <f t="shared" si="39"/>
        <v>20</v>
      </c>
      <c r="AM74" s="72">
        <v>0.0</v>
      </c>
      <c r="AN74" s="72">
        <v>0.0</v>
      </c>
      <c r="AO74" s="72">
        <v>0.0</v>
      </c>
      <c r="AP74" s="72">
        <v>0.0</v>
      </c>
      <c r="AQ74" s="72">
        <v>0.0</v>
      </c>
      <c r="AR74" s="86" t="s">
        <v>90</v>
      </c>
      <c r="AT74" s="76" t="s">
        <v>204</v>
      </c>
      <c r="AU74" s="6"/>
      <c r="AV74" s="6"/>
      <c r="AW74" s="24"/>
      <c r="AX74" s="83">
        <v>20.0</v>
      </c>
      <c r="AY74" s="80">
        <f t="shared" si="40"/>
        <v>20</v>
      </c>
      <c r="AZ74" s="72">
        <v>0.0</v>
      </c>
      <c r="BA74" s="72">
        <v>0.0</v>
      </c>
      <c r="BB74" s="72">
        <v>0.0</v>
      </c>
      <c r="BC74" s="72">
        <v>0.0</v>
      </c>
      <c r="BD74" s="72">
        <v>0.0</v>
      </c>
      <c r="BE74" s="86" t="s">
        <v>90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</row>
    <row r="75">
      <c r="A75" s="135" t="s">
        <v>171</v>
      </c>
      <c r="C75" s="136">
        <v>5.0</v>
      </c>
      <c r="E75" s="6"/>
      <c r="F75" s="6"/>
      <c r="G75" s="6"/>
      <c r="H75" s="6"/>
      <c r="I75" s="102">
        <f>SUM(I65:I74)</f>
        <v>200</v>
      </c>
      <c r="J75" s="125"/>
      <c r="K75" s="103">
        <f t="shared" ref="K75:O75" si="41">SUM(K65:K74)</f>
        <v>0</v>
      </c>
      <c r="L75" s="103">
        <f t="shared" si="41"/>
        <v>0</v>
      </c>
      <c r="M75" s="103">
        <f t="shared" si="41"/>
        <v>0</v>
      </c>
      <c r="N75" s="103">
        <f t="shared" si="41"/>
        <v>0</v>
      </c>
      <c r="O75" s="103">
        <f t="shared" si="41"/>
        <v>0</v>
      </c>
      <c r="P75" s="6"/>
      <c r="T75" s="6"/>
      <c r="U75" s="6"/>
      <c r="V75" s="6"/>
      <c r="W75" s="6"/>
      <c r="X75" s="102">
        <f>SUM(X65:X74)</f>
        <v>200</v>
      </c>
      <c r="Y75" s="125"/>
      <c r="Z75" s="103">
        <f t="shared" ref="Z75:AD75" si="42">SUM(Z65:Z74)</f>
        <v>0</v>
      </c>
      <c r="AA75" s="103">
        <f t="shared" si="42"/>
        <v>0</v>
      </c>
      <c r="AB75" s="103">
        <f t="shared" si="42"/>
        <v>0</v>
      </c>
      <c r="AC75" s="103">
        <f t="shared" si="42"/>
        <v>0</v>
      </c>
      <c r="AD75" s="103">
        <f t="shared" si="42"/>
        <v>0</v>
      </c>
      <c r="AE75" s="6"/>
      <c r="AG75" s="6"/>
      <c r="AH75" s="6"/>
      <c r="AI75" s="6"/>
      <c r="AJ75" s="6"/>
      <c r="AK75" s="102">
        <f>SUM(AK65:AK74)</f>
        <v>200</v>
      </c>
      <c r="AL75" s="125"/>
      <c r="AM75" s="103">
        <f t="shared" ref="AM75:AQ75" si="43">SUM(AM65:AM74)</f>
        <v>0</v>
      </c>
      <c r="AN75" s="103">
        <f t="shared" si="43"/>
        <v>0</v>
      </c>
      <c r="AO75" s="103">
        <f t="shared" si="43"/>
        <v>0</v>
      </c>
      <c r="AP75" s="103">
        <f t="shared" si="43"/>
        <v>0</v>
      </c>
      <c r="AQ75" s="103">
        <f t="shared" si="43"/>
        <v>0</v>
      </c>
      <c r="AR75" s="6"/>
      <c r="AT75" s="6"/>
      <c r="AU75" s="6"/>
      <c r="AV75" s="6"/>
      <c r="AW75" s="6"/>
      <c r="AX75" s="102">
        <f>SUM(AX65:AX74)</f>
        <v>200</v>
      </c>
      <c r="AY75" s="125"/>
      <c r="AZ75" s="103">
        <f t="shared" ref="AZ75:BD75" si="44">SUM(AZ65:AZ74)</f>
        <v>0</v>
      </c>
      <c r="BA75" s="103">
        <f t="shared" si="44"/>
        <v>0</v>
      </c>
      <c r="BB75" s="103">
        <f t="shared" si="44"/>
        <v>0</v>
      </c>
      <c r="BC75" s="103">
        <f t="shared" si="44"/>
        <v>0</v>
      </c>
      <c r="BD75" s="103">
        <f t="shared" si="44"/>
        <v>0</v>
      </c>
      <c r="BE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</row>
    <row r="76">
      <c r="A76" s="135" t="s">
        <v>175</v>
      </c>
      <c r="C76" s="136">
        <v>5.0</v>
      </c>
      <c r="E76" s="6"/>
      <c r="F76" s="6"/>
      <c r="G76" s="6"/>
      <c r="H76" s="105" t="s">
        <v>132</v>
      </c>
      <c r="I76" s="106">
        <f>SUM(K75:O75)</f>
        <v>0</v>
      </c>
      <c r="P76" s="6"/>
      <c r="T76" s="6"/>
      <c r="U76" s="6"/>
      <c r="V76" s="6"/>
      <c r="W76" s="105" t="s">
        <v>132</v>
      </c>
      <c r="X76" s="106">
        <f>SUM(Z75:AD75)</f>
        <v>0</v>
      </c>
      <c r="AE76" s="6"/>
      <c r="AG76" s="6"/>
      <c r="AH76" s="6"/>
      <c r="AI76" s="6"/>
      <c r="AJ76" s="105" t="s">
        <v>132</v>
      </c>
      <c r="AK76" s="106">
        <f>SUM(AM75:AQ75)</f>
        <v>0</v>
      </c>
      <c r="AR76" s="6"/>
      <c r="AT76" s="6"/>
      <c r="AU76" s="6"/>
      <c r="AV76" s="6"/>
      <c r="AW76" s="105" t="s">
        <v>132</v>
      </c>
      <c r="AX76" s="106">
        <f>SUM(AZ75:BD75)</f>
        <v>0</v>
      </c>
      <c r="BE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</row>
    <row r="77">
      <c r="A77" s="135" t="s">
        <v>179</v>
      </c>
      <c r="C77" s="136">
        <v>10.0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</row>
    <row r="78">
      <c r="A78" s="40"/>
      <c r="C78" s="40"/>
      <c r="E78" s="2"/>
      <c r="F78" s="6"/>
      <c r="G78" s="2"/>
      <c r="H78" s="2"/>
      <c r="I78" s="6"/>
      <c r="J78" s="6"/>
      <c r="K78" s="6"/>
      <c r="L78" s="6"/>
      <c r="M78" s="6"/>
      <c r="N78" s="6"/>
      <c r="O78" s="6"/>
      <c r="P78" s="6"/>
      <c r="T78" s="2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G78" s="2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T78" s="2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</row>
    <row r="79">
      <c r="A79" s="141" t="s">
        <v>205</v>
      </c>
      <c r="C79" s="104">
        <v>20.0</v>
      </c>
      <c r="E79" s="66" t="s">
        <v>206</v>
      </c>
      <c r="F79" s="67" t="s">
        <v>65</v>
      </c>
      <c r="G79" s="67" t="s">
        <v>70</v>
      </c>
      <c r="H79" s="67" t="s">
        <v>135</v>
      </c>
      <c r="I79" s="67" t="s">
        <v>180</v>
      </c>
      <c r="J79" s="67" t="s">
        <v>193</v>
      </c>
      <c r="K79" s="6"/>
      <c r="L79" s="6"/>
      <c r="M79" s="128" t="str">
        <f>F7</f>
        <v>พีรพัฒน์ แสวงรัมย์</v>
      </c>
      <c r="N79" s="129" t="str">
        <f>F8</f>
        <v>การัญภาส กันทะเนตร</v>
      </c>
      <c r="O79" s="130" t="str">
        <f>F9</f>
        <v>อรชพร กลิ่นชื่น</v>
      </c>
      <c r="P79" s="6"/>
      <c r="T79" s="66" t="s">
        <v>206</v>
      </c>
      <c r="U79" s="67" t="s">
        <v>65</v>
      </c>
      <c r="V79" s="67" t="s">
        <v>70</v>
      </c>
      <c r="W79" s="67" t="s">
        <v>135</v>
      </c>
      <c r="X79" s="67" t="s">
        <v>180</v>
      </c>
      <c r="Y79" s="67" t="s">
        <v>193</v>
      </c>
      <c r="Z79" s="6"/>
      <c r="AA79" s="6"/>
      <c r="AB79" s="128" t="str">
        <f>F7</f>
        <v>พีรพัฒน์ แสวงรัมย์</v>
      </c>
      <c r="AC79" s="129" t="str">
        <f>F8</f>
        <v>การัญภาส กันทะเนตร</v>
      </c>
      <c r="AD79" s="130" t="str">
        <f>F9</f>
        <v>อรชพร กลิ่นชื่น</v>
      </c>
      <c r="AE79" s="6"/>
      <c r="AG79" s="66" t="s">
        <v>206</v>
      </c>
      <c r="AH79" s="67" t="s">
        <v>65</v>
      </c>
      <c r="AI79" s="67" t="s">
        <v>70</v>
      </c>
      <c r="AJ79" s="67" t="s">
        <v>135</v>
      </c>
      <c r="AK79" s="67" t="s">
        <v>180</v>
      </c>
      <c r="AL79" s="67" t="s">
        <v>193</v>
      </c>
      <c r="AM79" s="6"/>
      <c r="AN79" s="6"/>
      <c r="AO79" s="128" t="str">
        <f>F7</f>
        <v>พีรพัฒน์ แสวงรัมย์</v>
      </c>
      <c r="AP79" s="129" t="str">
        <f>F8</f>
        <v>การัญภาส กันทะเนตร</v>
      </c>
      <c r="AQ79" s="130" t="str">
        <f>F9</f>
        <v>อรชพร กลิ่นชื่น</v>
      </c>
      <c r="AR79" s="6"/>
      <c r="AT79" s="66" t="s">
        <v>206</v>
      </c>
      <c r="AU79" s="67" t="s">
        <v>65</v>
      </c>
      <c r="AV79" s="67" t="s">
        <v>70</v>
      </c>
      <c r="AW79" s="67" t="s">
        <v>135</v>
      </c>
      <c r="AX79" s="67" t="s">
        <v>180</v>
      </c>
      <c r="AY79" s="67" t="s">
        <v>193</v>
      </c>
      <c r="AZ79" s="6"/>
      <c r="BA79" s="6"/>
      <c r="BB79" s="128" t="str">
        <f>F7</f>
        <v>พีรพัฒน์ แสวงรัมย์</v>
      </c>
      <c r="BC79" s="129" t="str">
        <f>F8</f>
        <v>การัญภาส กันทะเนตร</v>
      </c>
      <c r="BD79" s="130" t="str">
        <f>F9</f>
        <v>อรชพร กลิ่นชื่น</v>
      </c>
      <c r="BE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</row>
    <row r="80">
      <c r="A80" s="141" t="s">
        <v>207</v>
      </c>
      <c r="C80" s="104">
        <v>15.0</v>
      </c>
      <c r="E80" s="88" t="s">
        <v>71</v>
      </c>
      <c r="F80" s="62"/>
      <c r="G80" s="63">
        <f>SUM(I27,I45,I60,I75)/4</f>
        <v>165</v>
      </c>
      <c r="H80" s="63">
        <f>SUM(I27,I45,I60,I75)/4</f>
        <v>165</v>
      </c>
      <c r="I80" s="63">
        <f>SUM(I27,I45,I60,I75)/4</f>
        <v>165</v>
      </c>
      <c r="J80" s="63">
        <f>SUM(I27,I45,I60,I75)/4</f>
        <v>165</v>
      </c>
      <c r="K80" s="6"/>
      <c r="L80" s="131" t="s">
        <v>2</v>
      </c>
      <c r="M80" s="120">
        <f>COUNTIFS(P17:P74, "ToDO", G17:G74, F7)</f>
        <v>3</v>
      </c>
      <c r="N80" s="120">
        <f>COUNTIFS(P17:P74, "ToDO", G17:G74, F8)</f>
        <v>5</v>
      </c>
      <c r="O80" s="120">
        <f>COUNTIFS(P17:P74, "ToDO", G17:G74, F9)</f>
        <v>1</v>
      </c>
      <c r="P80" s="6"/>
      <c r="T80" s="88" t="s">
        <v>71</v>
      </c>
      <c r="U80" s="62"/>
      <c r="V80" s="63">
        <f>SUM(X27,X45,X60,X75)/4</f>
        <v>200</v>
      </c>
      <c r="W80" s="63">
        <f>SUM(X27,X45,X60,X75)/4</f>
        <v>200</v>
      </c>
      <c r="X80" s="63">
        <f>SUM(X27,X45,X60,X75)/4</f>
        <v>200</v>
      </c>
      <c r="Y80" s="63">
        <f>SUM(X27,X45,X60,X75)/4</f>
        <v>200</v>
      </c>
      <c r="Z80" s="6"/>
      <c r="AA80" s="131" t="s">
        <v>2</v>
      </c>
      <c r="AB80" s="120">
        <f>COUNTIFS(AE17:AE74, "ToDO", V17:V74, F7)</f>
        <v>5</v>
      </c>
      <c r="AC80" s="120">
        <f>COUNTIFS(AE17:AE74, "ToDO", V17:V74, F8)</f>
        <v>4</v>
      </c>
      <c r="AD80" s="120">
        <f>COUNTIFS(AE17:AE74, "ToDO", V17:V74, F9)</f>
        <v>7</v>
      </c>
      <c r="AE80" s="6"/>
      <c r="AG80" s="88" t="s">
        <v>71</v>
      </c>
      <c r="AH80" s="62"/>
      <c r="AI80" s="63">
        <f>SUM(AK27,AK45,AK60,AK75)/4</f>
        <v>185</v>
      </c>
      <c r="AJ80" s="63">
        <f>SUM(AK27,AK45,AK60,AK75)/4</f>
        <v>185</v>
      </c>
      <c r="AK80" s="63">
        <f>SUM(AK27,AK45,AK60,AK75)/4</f>
        <v>185</v>
      </c>
      <c r="AL80" s="63">
        <f>SUM(AK27,AK45,AK60,AK75)/4</f>
        <v>185</v>
      </c>
      <c r="AM80" s="6"/>
      <c r="AN80" s="131" t="s">
        <v>2</v>
      </c>
      <c r="AO80" s="120">
        <f>COUNTIFS(AR17:AR74, "ToDO", AI17:AI74, F7)</f>
        <v>5</v>
      </c>
      <c r="AP80" s="120">
        <f>COUNTIFS(AR17:AR74, "ToDO", AI17:AI74, F8)</f>
        <v>4</v>
      </c>
      <c r="AQ80" s="120">
        <f>COUNTIFS(AR17:AR74, "ToDO", AI17:AI74, F9)</f>
        <v>8</v>
      </c>
      <c r="AR80" s="6"/>
      <c r="AT80" s="88" t="s">
        <v>71</v>
      </c>
      <c r="AU80" s="62"/>
      <c r="AV80" s="63">
        <f>SUM(AX27,AX45,AX60,AX75)/4</f>
        <v>200</v>
      </c>
      <c r="AW80" s="63">
        <f>SUM(AX27,AX45,AX60,AX75)/4</f>
        <v>200</v>
      </c>
      <c r="AX80" s="63">
        <f>SUM(AX27,AX45,AX60,AX75)/4</f>
        <v>200</v>
      </c>
      <c r="AY80" s="63">
        <f>SUM(AX27,AX45,AX60,AX75)/4</f>
        <v>200</v>
      </c>
      <c r="AZ80" s="6"/>
      <c r="BA80" s="131" t="s">
        <v>2</v>
      </c>
      <c r="BB80" s="120">
        <f>COUNTIFS(BE17:BE74, "ToDO", AV17:AV74, F7)</f>
        <v>0</v>
      </c>
      <c r="BC80" s="120">
        <f>COUNTIFS(BE17:BE74, "ToDO", AV17:AV74, F8)</f>
        <v>0</v>
      </c>
      <c r="BD80" s="120">
        <f>COUNTIFS(BE17:BE74, "ToDO", AV17:AV74, F9)</f>
        <v>0</v>
      </c>
      <c r="BE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</row>
    <row r="81">
      <c r="A81" s="141" t="s">
        <v>208</v>
      </c>
      <c r="C81" s="104">
        <v>15.0</v>
      </c>
      <c r="E81" s="76" t="s">
        <v>85</v>
      </c>
      <c r="F81" s="69"/>
      <c r="G81" s="72">
        <f>SUM(K27:O27)</f>
        <v>160</v>
      </c>
      <c r="H81" s="72">
        <f>SUM(K45:O45)</f>
        <v>70</v>
      </c>
      <c r="I81" s="72">
        <f>SUM(K60:O60)</f>
        <v>20</v>
      </c>
      <c r="J81" s="72">
        <f>SUM(K75:O75)</f>
        <v>0</v>
      </c>
      <c r="K81" s="6"/>
      <c r="L81" s="132" t="s">
        <v>7</v>
      </c>
      <c r="M81" s="120">
        <f>COUNTIFS(P17:P74, "InProgress", G17:G74, F7)</f>
        <v>0</v>
      </c>
      <c r="N81" s="120">
        <f>COUNTIFS(P17:P74, "InProgress", G17:G74, F8)</f>
        <v>0</v>
      </c>
      <c r="O81" s="120">
        <f>COUNTIFS(P17:P74, "InProgress", G17:G74, F9)</f>
        <v>1</v>
      </c>
      <c r="P81" s="6"/>
      <c r="T81" s="76" t="s">
        <v>85</v>
      </c>
      <c r="U81" s="69"/>
      <c r="V81" s="72">
        <f>SUM(Z27:AD27)</f>
        <v>0</v>
      </c>
      <c r="W81" s="72">
        <f>SUM(Z45:AD45)</f>
        <v>0</v>
      </c>
      <c r="X81" s="72">
        <f>SUM(Z60:AD60)</f>
        <v>0</v>
      </c>
      <c r="Y81" s="72">
        <f>SUM(Z75:AD75)</f>
        <v>0</v>
      </c>
      <c r="Z81" s="6"/>
      <c r="AA81" s="132" t="s">
        <v>7</v>
      </c>
      <c r="AB81" s="120">
        <f>COUNTIFS(AE17:AE74, "InProgress", V17:V74, F7)</f>
        <v>0</v>
      </c>
      <c r="AC81" s="120">
        <f>COUNTIFS(AE17:AE74, "InProgress", V17:V74, F8)</f>
        <v>0</v>
      </c>
      <c r="AD81" s="120">
        <f>COUNTIFS(AE17:AE74, "InProgress", V17:V74, F9)</f>
        <v>0</v>
      </c>
      <c r="AE81" s="6"/>
      <c r="AG81" s="76" t="s">
        <v>85</v>
      </c>
      <c r="AH81" s="69"/>
      <c r="AI81" s="72">
        <f>SUM(AM27:AQ27)</f>
        <v>0</v>
      </c>
      <c r="AJ81" s="72">
        <f>SUM(AM45:AQ45)</f>
        <v>0</v>
      </c>
      <c r="AK81" s="72">
        <f>SUM(AM60:AQ60)</f>
        <v>0</v>
      </c>
      <c r="AL81" s="72">
        <f>SUM(AM75:AQ75)</f>
        <v>0</v>
      </c>
      <c r="AM81" s="6"/>
      <c r="AN81" s="132" t="s">
        <v>7</v>
      </c>
      <c r="AO81" s="120">
        <f>COUNTIFS(AR17:AR74, "InProgress", AI17:AI74, F7)</f>
        <v>0</v>
      </c>
      <c r="AP81" s="120">
        <f>COUNTIFS(AR17:AR74, "InProgress", AI17:AI74, F8)</f>
        <v>0</v>
      </c>
      <c r="AQ81" s="120">
        <f>COUNTIFS(AR17:AR74, "InProgress", AI17:AI74, F9)</f>
        <v>0</v>
      </c>
      <c r="AR81" s="6"/>
      <c r="AT81" s="76" t="s">
        <v>85</v>
      </c>
      <c r="AU81" s="69"/>
      <c r="AV81" s="72">
        <f>SUM(AZ27:BD27)</f>
        <v>0</v>
      </c>
      <c r="AW81" s="72">
        <f>SUM(AZ45:BD45)</f>
        <v>0</v>
      </c>
      <c r="AX81" s="72">
        <f>SUM(AZ60:BD60)</f>
        <v>0</v>
      </c>
      <c r="AY81" s="72">
        <f>SUM(AZ75:BD75)</f>
        <v>0</v>
      </c>
      <c r="AZ81" s="6"/>
      <c r="BA81" s="132" t="s">
        <v>7</v>
      </c>
      <c r="BB81" s="120">
        <f>COUNTIFS(BE17:BE74, "InProgress", AV17:AV74, F7)</f>
        <v>0</v>
      </c>
      <c r="BC81" s="120">
        <f>COUNTIFS(BE17:BE74, "InProgress", AV17:AV74, F8)</f>
        <v>0</v>
      </c>
      <c r="BD81" s="120">
        <f>COUNTIFS(BE17:BE74, "InProgress", AV17:AV74, F9)</f>
        <v>0</v>
      </c>
      <c r="BE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</row>
    <row r="82">
      <c r="A82" s="141" t="s">
        <v>209</v>
      </c>
      <c r="C82" s="104">
        <v>20.0</v>
      </c>
      <c r="E82" s="88" t="s">
        <v>92</v>
      </c>
      <c r="F82" s="63">
        <f>SUM(I27,I45,I60,I75)</f>
        <v>660</v>
      </c>
      <c r="G82" s="63">
        <f t="shared" ref="G82:J82" si="45">F82-G81</f>
        <v>500</v>
      </c>
      <c r="H82" s="63">
        <f t="shared" si="45"/>
        <v>430</v>
      </c>
      <c r="I82" s="63">
        <f t="shared" si="45"/>
        <v>410</v>
      </c>
      <c r="J82" s="63">
        <f t="shared" si="45"/>
        <v>410</v>
      </c>
      <c r="K82" s="6"/>
      <c r="L82" s="133" t="s">
        <v>29</v>
      </c>
      <c r="M82" s="120">
        <f>COUNTIFS(P17:P74, "Testing", G17:G74, F7)</f>
        <v>0</v>
      </c>
      <c r="N82" s="120">
        <f>COUNTIFS(P17:P74, "Testing", G17:G74, F8)</f>
        <v>0</v>
      </c>
      <c r="O82" s="120">
        <f>COUNTIFS(P17:P74, "Testing", G17:G74, F9)</f>
        <v>0</v>
      </c>
      <c r="P82" s="6"/>
      <c r="T82" s="88" t="s">
        <v>92</v>
      </c>
      <c r="U82" s="63">
        <f>SUM(X27,X45,X60,X75)</f>
        <v>800</v>
      </c>
      <c r="V82" s="63">
        <f t="shared" ref="V82:Y82" si="46">U82-V81</f>
        <v>800</v>
      </c>
      <c r="W82" s="63">
        <f t="shared" si="46"/>
        <v>800</v>
      </c>
      <c r="X82" s="63">
        <f t="shared" si="46"/>
        <v>800</v>
      </c>
      <c r="Y82" s="63">
        <f t="shared" si="46"/>
        <v>800</v>
      </c>
      <c r="Z82" s="6"/>
      <c r="AA82" s="133" t="s">
        <v>29</v>
      </c>
      <c r="AB82" s="120">
        <f>COUNTIFS(AE17:AE74, "Testing", V17:V74, F7)</f>
        <v>0</v>
      </c>
      <c r="AC82" s="120">
        <f>COUNTIFS(AE17:AE74, "Testing", V17:V74, F8)</f>
        <v>0</v>
      </c>
      <c r="AD82" s="120">
        <f>COUNTIFS(AE17:AE74, "Testing", V17:V74, "B9)")</f>
        <v>0</v>
      </c>
      <c r="AE82" s="6"/>
      <c r="AG82" s="88" t="s">
        <v>92</v>
      </c>
      <c r="AH82" s="63">
        <f>SUM(AK27,AK45,AK60,AK75)</f>
        <v>740</v>
      </c>
      <c r="AI82" s="63">
        <f t="shared" ref="AI82:AL82" si="47">AH82-AI81</f>
        <v>740</v>
      </c>
      <c r="AJ82" s="63">
        <f t="shared" si="47"/>
        <v>740</v>
      </c>
      <c r="AK82" s="63">
        <f t="shared" si="47"/>
        <v>740</v>
      </c>
      <c r="AL82" s="63">
        <f t="shared" si="47"/>
        <v>740</v>
      </c>
      <c r="AM82" s="6"/>
      <c r="AN82" s="133" t="s">
        <v>29</v>
      </c>
      <c r="AO82" s="120">
        <f>COUNTIFS(AR17:AR74, "Testing", AI17:AI74, F7)</f>
        <v>0</v>
      </c>
      <c r="AP82" s="120">
        <f>COUNTIFS(AR17:AR74, "Testing", AI17:AI74, F8)</f>
        <v>0</v>
      </c>
      <c r="AQ82" s="120">
        <f>COUNTIFS(AR17:AR74, "Testing", AI17:AI74, F9)</f>
        <v>0</v>
      </c>
      <c r="AR82" s="6"/>
      <c r="AT82" s="88" t="s">
        <v>92</v>
      </c>
      <c r="AU82" s="63">
        <f>SUM(AX27,AX45,AX60,AX75)</f>
        <v>800</v>
      </c>
      <c r="AV82" s="63">
        <f t="shared" ref="AV82:AY82" si="48">AU82-AV81</f>
        <v>800</v>
      </c>
      <c r="AW82" s="63">
        <f t="shared" si="48"/>
        <v>800</v>
      </c>
      <c r="AX82" s="63">
        <f t="shared" si="48"/>
        <v>800</v>
      </c>
      <c r="AY82" s="63">
        <f t="shared" si="48"/>
        <v>800</v>
      </c>
      <c r="AZ82" s="6"/>
      <c r="BA82" s="133" t="s">
        <v>29</v>
      </c>
      <c r="BB82" s="120">
        <f>COUNTIFS(BE17:BE74, "Testing", AV17:AV74, F7)</f>
        <v>0</v>
      </c>
      <c r="BC82" s="120">
        <f>COUNTIFS(BE17:BE74, "Testing", AV17:AV74, F8)</f>
        <v>0</v>
      </c>
      <c r="BD82" s="120">
        <f>COUNTIFS(BE17:BE74, "Testing", AV17:AV74, F9)</f>
        <v>0</v>
      </c>
      <c r="BE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</row>
    <row r="83">
      <c r="A83" s="141" t="s">
        <v>210</v>
      </c>
      <c r="C83" s="104">
        <v>20.0</v>
      </c>
      <c r="E83" s="89" t="s">
        <v>97</v>
      </c>
      <c r="F83" s="92">
        <f>SUM(I27,I45,I60,I75)</f>
        <v>660</v>
      </c>
      <c r="G83" s="92">
        <f t="shared" ref="G83:J83" si="49">F83-G80</f>
        <v>495</v>
      </c>
      <c r="H83" s="92">
        <f t="shared" si="49"/>
        <v>330</v>
      </c>
      <c r="I83" s="92">
        <f t="shared" si="49"/>
        <v>165</v>
      </c>
      <c r="J83" s="92">
        <f t="shared" si="49"/>
        <v>0</v>
      </c>
      <c r="K83" s="6"/>
      <c r="L83" s="134" t="s">
        <v>31</v>
      </c>
      <c r="M83" s="120">
        <f>COUNTIFS(P17:P74, "Done", G17:G74, F7)</f>
        <v>1</v>
      </c>
      <c r="N83" s="120">
        <f>COUNTIFS(P17:P74, "Done", G17:G74, F8)</f>
        <v>0</v>
      </c>
      <c r="O83" s="120">
        <f>COUNTIFS(P17:P74, "Done", G17:G74, F9)</f>
        <v>4</v>
      </c>
      <c r="P83" s="6"/>
      <c r="T83" s="89" t="s">
        <v>97</v>
      </c>
      <c r="U83" s="92">
        <f>SUM(X27,X45,X60,X75)</f>
        <v>800</v>
      </c>
      <c r="V83" s="92">
        <f t="shared" ref="V83:Y83" si="50">U83-V80</f>
        <v>600</v>
      </c>
      <c r="W83" s="92">
        <f t="shared" si="50"/>
        <v>400</v>
      </c>
      <c r="X83" s="92">
        <f t="shared" si="50"/>
        <v>200</v>
      </c>
      <c r="Y83" s="92">
        <f t="shared" si="50"/>
        <v>0</v>
      </c>
      <c r="Z83" s="6"/>
      <c r="AA83" s="134" t="s">
        <v>31</v>
      </c>
      <c r="AB83" s="120">
        <f>COUNTIFS(AE17:AE74, "Done", V17:V74, F7)</f>
        <v>0</v>
      </c>
      <c r="AC83" s="120">
        <f>COUNTIFS(AE17:AE74, "Done", V17:V74, F8)</f>
        <v>0</v>
      </c>
      <c r="AD83" s="120">
        <f>COUNTIFS(AE17:AE74, "Done", V17:V74, F9)</f>
        <v>0</v>
      </c>
      <c r="AE83" s="6"/>
      <c r="AG83" s="89" t="s">
        <v>97</v>
      </c>
      <c r="AH83" s="92">
        <f>SUM(AK27,AK45,AK60,AK75)</f>
        <v>740</v>
      </c>
      <c r="AI83" s="92">
        <f t="shared" ref="AI83:AL83" si="51">AH83-AI80</f>
        <v>555</v>
      </c>
      <c r="AJ83" s="92">
        <f t="shared" si="51"/>
        <v>370</v>
      </c>
      <c r="AK83" s="92">
        <f t="shared" si="51"/>
        <v>185</v>
      </c>
      <c r="AL83" s="92">
        <f t="shared" si="51"/>
        <v>0</v>
      </c>
      <c r="AM83" s="6"/>
      <c r="AN83" s="134" t="s">
        <v>31</v>
      </c>
      <c r="AO83" s="120">
        <f>COUNTIFS(AR17:AR74, "Done", AI17:AI74, F7)</f>
        <v>0</v>
      </c>
      <c r="AP83" s="120">
        <f>COUNTIFS(AR17:AR74, "Done", AI17:AI74, F8)</f>
        <v>0</v>
      </c>
      <c r="AQ83" s="120">
        <f>COUNTIFS(AR17:AR74, "Done", AI17:AI74, F9)</f>
        <v>0</v>
      </c>
      <c r="AR83" s="6"/>
      <c r="AT83" s="89" t="s">
        <v>97</v>
      </c>
      <c r="AU83" s="92">
        <f>SUM(AX27,AX45,AX60,AX75)</f>
        <v>800</v>
      </c>
      <c r="AV83" s="92">
        <f t="shared" ref="AV83:AY83" si="52">AU83-AV80</f>
        <v>600</v>
      </c>
      <c r="AW83" s="92">
        <f t="shared" si="52"/>
        <v>400</v>
      </c>
      <c r="AX83" s="92">
        <f t="shared" si="52"/>
        <v>200</v>
      </c>
      <c r="AY83" s="92">
        <f t="shared" si="52"/>
        <v>0</v>
      </c>
      <c r="AZ83" s="6"/>
      <c r="BA83" s="134" t="s">
        <v>31</v>
      </c>
      <c r="BB83" s="120">
        <f>COUNTIFS(BE17:BE74, "Done", AV17:AV74, F7)</f>
        <v>0</v>
      </c>
      <c r="BC83" s="120">
        <f>COUNTIFS(BE17:BE74, "Done", AV17:AV74, F8)</f>
        <v>0</v>
      </c>
      <c r="BD83" s="120">
        <f>COUNTIFS(BE17:BE74, "Done", AV17:AV74, F9)</f>
        <v>0</v>
      </c>
      <c r="BE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</row>
    <row r="84">
      <c r="A84" s="141" t="s">
        <v>211</v>
      </c>
      <c r="C84" s="104">
        <v>5.0</v>
      </c>
      <c r="E84" s="6"/>
      <c r="F84" s="6"/>
      <c r="G84" s="6"/>
      <c r="H84" s="6"/>
      <c r="I84" s="6"/>
      <c r="J84" s="6"/>
      <c r="K84" s="6"/>
      <c r="L84" s="137" t="s">
        <v>40</v>
      </c>
      <c r="M84" s="120">
        <f>COUNTIFS(P17:P74, "Complete", G17:G74, F7)</f>
        <v>3</v>
      </c>
      <c r="N84" s="120">
        <f>COUNTIFS(P17:P74, "Complete", G17:G74, F8)</f>
        <v>2</v>
      </c>
      <c r="O84" s="142">
        <f>COUNTIFS(P17:P74, "Complete", G17:G74, F9)</f>
        <v>3</v>
      </c>
      <c r="P84" s="6"/>
      <c r="T84" s="6"/>
      <c r="U84" s="6"/>
      <c r="V84" s="6"/>
      <c r="W84" s="6"/>
      <c r="X84" s="6"/>
      <c r="Y84" s="6"/>
      <c r="Z84" s="6"/>
      <c r="AA84" s="137" t="s">
        <v>40</v>
      </c>
      <c r="AB84" s="120">
        <f>COUNTIFS(AE17:AE74, "Complete", V17:V74, F7)</f>
        <v>0</v>
      </c>
      <c r="AC84" s="120">
        <f>COUNTIFS(AE17:AE74, "Complete", V17:V74, F8)</f>
        <v>0</v>
      </c>
      <c r="AD84" s="120">
        <f>COUNTIFS(AE17:AE74, "Complete", V17:V74, F9)</f>
        <v>0</v>
      </c>
      <c r="AE84" s="6"/>
      <c r="AG84" s="6"/>
      <c r="AH84" s="6"/>
      <c r="AI84" s="6"/>
      <c r="AJ84" s="6"/>
      <c r="AK84" s="6"/>
      <c r="AL84" s="6"/>
      <c r="AM84" s="6"/>
      <c r="AN84" s="137" t="s">
        <v>40</v>
      </c>
      <c r="AO84" s="120">
        <f>COUNTIFS(AR17:AR74, "Complete", AI17:AI74, F7)</f>
        <v>0</v>
      </c>
      <c r="AP84" s="120">
        <f>COUNTIFS(AR17:AR74, "Complete", AI17:AI74, F8)</f>
        <v>0</v>
      </c>
      <c r="AQ84" s="120">
        <f>COUNTIFS(AR17:AR74, "Complete", AI17:AI74, F9)</f>
        <v>0</v>
      </c>
      <c r="AR84" s="6"/>
      <c r="AT84" s="6"/>
      <c r="AU84" s="6"/>
      <c r="AV84" s="6"/>
      <c r="AW84" s="6"/>
      <c r="AX84" s="6"/>
      <c r="AY84" s="6"/>
      <c r="AZ84" s="6"/>
      <c r="BA84" s="137" t="s">
        <v>40</v>
      </c>
      <c r="BB84" s="120">
        <f>COUNTIFS(BE17:BE74, "Complete", AV17:AV74, F7)</f>
        <v>0</v>
      </c>
      <c r="BC84" s="120">
        <f>COUNTIFS(BE17:BE74, "Complete", AV17:AV74, F8)</f>
        <v>0</v>
      </c>
      <c r="BD84" s="120">
        <f>COUNTIFS(BE17:BE74, "Complete", AV17:AV74, F9)</f>
        <v>0</v>
      </c>
      <c r="BE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</row>
    <row r="85">
      <c r="A85" s="141"/>
      <c r="C85" s="104"/>
      <c r="E85" s="6"/>
      <c r="F85" s="6"/>
      <c r="G85" s="6"/>
      <c r="H85" s="6"/>
      <c r="I85" s="6"/>
      <c r="J85" s="6"/>
      <c r="K85" s="6"/>
      <c r="L85" s="140" t="s">
        <v>189</v>
      </c>
      <c r="M85" s="120">
        <f>COUNTIFS(P17:P74, "Reject", G17:G74, F7)</f>
        <v>0</v>
      </c>
      <c r="N85" s="120">
        <f>COUNTIFS(P17:P74, "Reject", G17:G74, F8)</f>
        <v>0</v>
      </c>
      <c r="O85" s="120">
        <f>COUNTIFS(P17:P74, "Reject", G17:G74, F9)</f>
        <v>0</v>
      </c>
      <c r="P85" s="6"/>
      <c r="T85" s="6"/>
      <c r="U85" s="6"/>
      <c r="V85" s="6"/>
      <c r="W85" s="6"/>
      <c r="X85" s="6"/>
      <c r="Y85" s="6"/>
      <c r="Z85" s="6"/>
      <c r="AA85" s="140" t="s">
        <v>189</v>
      </c>
      <c r="AB85" s="120">
        <f>COUNTIFS(AE17:AE74, "Reject", V17:V74, F7)</f>
        <v>0</v>
      </c>
      <c r="AC85" s="120">
        <f>COUNTIFS(AE17:AE74, "Reject", V17:V74, F8)</f>
        <v>0</v>
      </c>
      <c r="AD85" s="120">
        <f>COUNTIFS(AE17:AE74, "Reject", V17:V74, F9)</f>
        <v>0</v>
      </c>
      <c r="AE85" s="6"/>
      <c r="AG85" s="6"/>
      <c r="AH85" s="6"/>
      <c r="AI85" s="6"/>
      <c r="AJ85" s="6"/>
      <c r="AK85" s="6"/>
      <c r="AL85" s="6"/>
      <c r="AM85" s="6"/>
      <c r="AN85" s="140" t="s">
        <v>189</v>
      </c>
      <c r="AO85" s="120">
        <f>COUNTIFS(AR17:AR74, "Reject", AI17:AI74, F7)</f>
        <v>0</v>
      </c>
      <c r="AP85" s="120">
        <f>COUNTIFS(AR17:AR74, "Reject", AI17:AI74, F8)</f>
        <v>0</v>
      </c>
      <c r="AQ85" s="120">
        <f>COUNTIFS(AR17:AR74, "Reject", AI17:AI74, F9)</f>
        <v>0</v>
      </c>
      <c r="AR85" s="6"/>
      <c r="AT85" s="6"/>
      <c r="AU85" s="6"/>
      <c r="AV85" s="6"/>
      <c r="AW85" s="6"/>
      <c r="AX85" s="6"/>
      <c r="AY85" s="6"/>
      <c r="AZ85" s="6"/>
      <c r="BA85" s="140" t="s">
        <v>189</v>
      </c>
      <c r="BB85" s="120">
        <f>COUNTIFS(BE17:BE74, "Reject", AV17:AV74, F7)</f>
        <v>0</v>
      </c>
      <c r="BC85" s="120">
        <f>COUNTIFS(BE17:BE74, "Reject", AV17:AV74, F8)</f>
        <v>0</v>
      </c>
      <c r="BD85" s="120">
        <f>COUNTIFS(BE17:BE74, "Reject", AV17:AV74, F9)</f>
        <v>0</v>
      </c>
      <c r="BE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</row>
    <row r="86">
      <c r="A86" s="141"/>
      <c r="C86" s="104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</row>
    <row r="87">
      <c r="A87" s="141"/>
      <c r="C87" s="104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</row>
    <row r="88">
      <c r="A88" s="141"/>
      <c r="C88" s="14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</row>
    <row r="89">
      <c r="A89" s="141"/>
      <c r="C89" s="14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</row>
    <row r="90">
      <c r="A90" s="141"/>
      <c r="C90" s="14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</row>
    <row r="91">
      <c r="A91" s="141"/>
      <c r="C91" s="14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</row>
    <row r="92">
      <c r="A92" s="141"/>
      <c r="C92" s="14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</row>
    <row r="93">
      <c r="A93" s="141"/>
      <c r="C93" s="14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</row>
    <row r="94">
      <c r="A94" s="141"/>
      <c r="C94" s="14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</row>
    <row r="95">
      <c r="A95" s="141"/>
      <c r="C95" s="14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</row>
    <row r="96">
      <c r="A96" s="141"/>
      <c r="C96" s="14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</row>
    <row r="97">
      <c r="A97" s="141"/>
      <c r="C97" s="14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</row>
    <row r="98">
      <c r="A98" s="141"/>
      <c r="C98" s="14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</row>
    <row r="99">
      <c r="A99" s="141"/>
      <c r="C99" s="14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</row>
    <row r="100">
      <c r="A100" s="141"/>
      <c r="C100" s="14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</row>
    <row r="101">
      <c r="A101" s="141"/>
      <c r="C101" s="14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</row>
    <row r="102">
      <c r="A102" s="141"/>
      <c r="C102" s="14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</row>
    <row r="103">
      <c r="A103" s="141"/>
      <c r="C103" s="14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</row>
    <row r="104">
      <c r="A104" s="141"/>
      <c r="C104" s="14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</row>
    <row r="105">
      <c r="A105" s="141"/>
      <c r="C105" s="14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</row>
    <row r="106">
      <c r="A106" s="141"/>
      <c r="C106" s="14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</row>
    <row r="107">
      <c r="A107" s="141"/>
      <c r="C107" s="14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</row>
    <row r="108">
      <c r="A108" s="141"/>
      <c r="C108" s="141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  <c r="T108" s="2"/>
      <c r="U108" s="2"/>
      <c r="V108" s="2"/>
      <c r="W108" s="2"/>
      <c r="X108" s="2"/>
      <c r="Y108" s="2"/>
      <c r="Z108" s="6"/>
      <c r="AA108" s="6"/>
      <c r="AB108" s="6"/>
      <c r="AC108" s="6"/>
      <c r="AD108" s="6"/>
      <c r="AE108" s="6"/>
      <c r="AG108" s="2"/>
      <c r="AH108" s="2"/>
      <c r="AI108" s="2"/>
      <c r="AJ108" s="2"/>
      <c r="AK108" s="2"/>
      <c r="AL108" s="2"/>
      <c r="AM108" s="6"/>
      <c r="AN108" s="6"/>
      <c r="AO108" s="6"/>
      <c r="AP108" s="6"/>
      <c r="AQ108" s="6"/>
      <c r="AR108" s="6"/>
      <c r="AT108" s="2"/>
      <c r="AU108" s="2"/>
      <c r="AV108" s="2"/>
      <c r="AW108" s="2"/>
      <c r="AX108" s="2"/>
      <c r="AY108" s="2"/>
      <c r="AZ108" s="6"/>
      <c r="BA108" s="6"/>
      <c r="BB108" s="6"/>
      <c r="BC108" s="6"/>
      <c r="BD108" s="6"/>
      <c r="BE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</row>
    <row r="109">
      <c r="A109" s="141"/>
      <c r="C109" s="141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  <c r="T109" s="2"/>
      <c r="U109" s="2"/>
      <c r="V109" s="2"/>
      <c r="W109" s="2"/>
      <c r="X109" s="2"/>
      <c r="Y109" s="2"/>
      <c r="Z109" s="6"/>
      <c r="AA109" s="6"/>
      <c r="AB109" s="6"/>
      <c r="AC109" s="6"/>
      <c r="AD109" s="6"/>
      <c r="AE109" s="6"/>
      <c r="AG109" s="2"/>
      <c r="AH109" s="2"/>
      <c r="AI109" s="2"/>
      <c r="AJ109" s="2"/>
      <c r="AK109" s="2"/>
      <c r="AL109" s="2"/>
      <c r="AM109" s="6"/>
      <c r="AN109" s="6"/>
      <c r="AO109" s="6"/>
      <c r="AP109" s="6"/>
      <c r="AQ109" s="6"/>
      <c r="AR109" s="6"/>
      <c r="AT109" s="2"/>
      <c r="AU109" s="2"/>
      <c r="AV109" s="2"/>
      <c r="AW109" s="2"/>
      <c r="AX109" s="2"/>
      <c r="AY109" s="2"/>
      <c r="AZ109" s="6"/>
      <c r="BA109" s="6"/>
      <c r="BB109" s="6"/>
      <c r="BC109" s="6"/>
      <c r="BD109" s="6"/>
      <c r="BE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</row>
    <row r="110">
      <c r="A110" s="141"/>
      <c r="C110" s="141"/>
      <c r="E110" s="143" t="s">
        <v>58</v>
      </c>
      <c r="F110" s="108"/>
      <c r="G110" s="108"/>
      <c r="H110" s="108"/>
      <c r="I110" s="108"/>
      <c r="J110" s="45"/>
      <c r="K110" s="6"/>
      <c r="L110" s="6"/>
      <c r="M110" s="6"/>
      <c r="N110" s="6"/>
      <c r="O110" s="6"/>
      <c r="P110" s="6"/>
      <c r="T110" s="143" t="s">
        <v>58</v>
      </c>
      <c r="U110" s="108"/>
      <c r="V110" s="108"/>
      <c r="W110" s="108"/>
      <c r="X110" s="108"/>
      <c r="Y110" s="45"/>
      <c r="Z110" s="6"/>
      <c r="AA110" s="6"/>
      <c r="AB110" s="6"/>
      <c r="AC110" s="6"/>
      <c r="AD110" s="6"/>
      <c r="AE110" s="6"/>
      <c r="AG110" s="143" t="s">
        <v>58</v>
      </c>
      <c r="AH110" s="108"/>
      <c r="AI110" s="108"/>
      <c r="AJ110" s="108"/>
      <c r="AK110" s="108"/>
      <c r="AL110" s="45"/>
      <c r="AM110" s="6"/>
      <c r="AN110" s="6"/>
      <c r="AO110" s="6"/>
      <c r="AP110" s="6"/>
      <c r="AQ110" s="6"/>
      <c r="AR110" s="6"/>
      <c r="AT110" s="143" t="s">
        <v>58</v>
      </c>
      <c r="AU110" s="108"/>
      <c r="AV110" s="108"/>
      <c r="AW110" s="108"/>
      <c r="AX110" s="108"/>
      <c r="AY110" s="45"/>
      <c r="AZ110" s="6"/>
      <c r="BA110" s="6"/>
      <c r="BB110" s="6"/>
      <c r="BC110" s="6"/>
      <c r="BD110" s="6"/>
      <c r="BE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</row>
    <row r="111">
      <c r="A111" s="141"/>
      <c r="C111" s="141"/>
      <c r="E111" s="144" t="str">
        <f t="array" ref="E111">XLOOKUP("PM/Scrummaster",G7:G9,F7:F9)</f>
        <v>พีรพัฒน์ แสวงรัมย์</v>
      </c>
      <c r="F111" s="108"/>
      <c r="G111" s="108"/>
      <c r="H111" s="108"/>
      <c r="I111" s="108"/>
      <c r="J111" s="45"/>
      <c r="K111" s="6"/>
      <c r="L111" s="6"/>
      <c r="M111" s="6"/>
      <c r="N111" s="6"/>
      <c r="O111" s="6"/>
      <c r="P111" s="6"/>
      <c r="T111" s="144" t="str">
        <f t="array" ref="T111">XLOOKUP("PM/Scrummaster",J7:J9,I7:I9)</f>
        <v>พีรพัฒน์ แสวงรัมย์</v>
      </c>
      <c r="U111" s="108"/>
      <c r="V111" s="108"/>
      <c r="W111" s="108"/>
      <c r="X111" s="108"/>
      <c r="Y111" s="45"/>
      <c r="Z111" s="6"/>
      <c r="AA111" s="6"/>
      <c r="AB111" s="6"/>
      <c r="AC111" s="6"/>
      <c r="AD111" s="6"/>
      <c r="AE111" s="6"/>
      <c r="AG111" s="144" t="str">
        <f t="array" ref="AG111">XLOOKUP("PM/Scrummaster",M7:M9,L7:L9)</f>
        <v>การัญภาส กันทะเนตร</v>
      </c>
      <c r="AH111" s="108"/>
      <c r="AI111" s="108"/>
      <c r="AJ111" s="108"/>
      <c r="AK111" s="108"/>
      <c r="AL111" s="45"/>
      <c r="AM111" s="6"/>
      <c r="AN111" s="6"/>
      <c r="AO111" s="6"/>
      <c r="AP111" s="6"/>
      <c r="AQ111" s="6"/>
      <c r="AR111" s="6"/>
      <c r="AT111" s="144" t="str">
        <f t="array" ref="AT111">XLOOKUP("PM/Scrummaster",P7:P9,O7:O9)</f>
        <v>#N/A</v>
      </c>
      <c r="AU111" s="108"/>
      <c r="AV111" s="108"/>
      <c r="AW111" s="108"/>
      <c r="AX111" s="108"/>
      <c r="AY111" s="45"/>
      <c r="AZ111" s="6"/>
      <c r="BA111" s="6"/>
      <c r="BB111" s="6"/>
      <c r="BC111" s="6"/>
      <c r="BD111" s="6"/>
      <c r="BE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</row>
    <row r="112">
      <c r="A112" s="141"/>
      <c r="B112" s="141"/>
      <c r="C112" s="141"/>
      <c r="D112" s="14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</row>
    <row r="113">
      <c r="A113" s="141"/>
      <c r="B113" s="141"/>
      <c r="C113" s="141"/>
      <c r="D113" s="14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</row>
    <row r="114">
      <c r="A114" s="141"/>
      <c r="B114" s="141"/>
      <c r="C114" s="141"/>
      <c r="D114" s="14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</row>
    <row r="115">
      <c r="A115" s="141"/>
      <c r="B115" s="141"/>
      <c r="C115" s="141"/>
      <c r="D115" s="14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</row>
    <row r="116">
      <c r="A116" s="141"/>
      <c r="B116" s="141"/>
      <c r="C116" s="141"/>
      <c r="D116" s="14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</row>
    <row r="117">
      <c r="A117" s="141"/>
      <c r="B117" s="141"/>
      <c r="C117" s="141"/>
      <c r="D117" s="14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</row>
    <row r="118">
      <c r="A118" s="141"/>
      <c r="B118" s="141"/>
      <c r="C118" s="141"/>
      <c r="D118" s="14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</row>
    <row r="119">
      <c r="A119" s="141"/>
      <c r="B119" s="141"/>
      <c r="C119" s="141"/>
      <c r="D119" s="14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</row>
    <row r="120">
      <c r="A120" s="141"/>
      <c r="B120" s="141"/>
      <c r="C120" s="141"/>
      <c r="D120" s="14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</row>
    <row r="121">
      <c r="A121" s="141"/>
      <c r="B121" s="141"/>
      <c r="C121" s="141"/>
      <c r="D121" s="14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</row>
    <row r="122">
      <c r="A122" s="141"/>
      <c r="B122" s="141"/>
      <c r="C122" s="141"/>
      <c r="D122" s="14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</row>
    <row r="123">
      <c r="A123" s="141"/>
      <c r="B123" s="141"/>
      <c r="C123" s="141"/>
      <c r="D123" s="14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</row>
    <row r="124">
      <c r="A124" s="141"/>
      <c r="B124" s="141"/>
      <c r="C124" s="141"/>
      <c r="D124" s="14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</row>
    <row r="125">
      <c r="A125" s="141"/>
      <c r="B125" s="141"/>
      <c r="C125" s="141"/>
      <c r="D125" s="14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</row>
    <row r="126">
      <c r="A126" s="141"/>
      <c r="B126" s="141"/>
      <c r="C126" s="141"/>
      <c r="D126" s="14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</row>
    <row r="127">
      <c r="A127" s="141"/>
      <c r="B127" s="141"/>
      <c r="C127" s="141"/>
      <c r="D127" s="14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</row>
    <row r="128">
      <c r="A128" s="141"/>
      <c r="B128" s="141"/>
      <c r="C128" s="141"/>
      <c r="D128" s="14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</row>
    <row r="129">
      <c r="A129" s="141"/>
      <c r="B129" s="141"/>
      <c r="C129" s="141"/>
      <c r="D129" s="14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</row>
    <row r="130">
      <c r="A130" s="141"/>
      <c r="B130" s="141"/>
      <c r="C130" s="141"/>
      <c r="D130" s="14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145" t="s">
        <v>212</v>
      </c>
      <c r="P130" s="145" t="s">
        <v>0</v>
      </c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</row>
    <row r="131">
      <c r="A131" s="141"/>
      <c r="B131" s="141"/>
      <c r="C131" s="141"/>
      <c r="D131" s="14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</row>
    <row r="132">
      <c r="A132" s="141"/>
      <c r="B132" s="141"/>
      <c r="C132" s="141"/>
      <c r="D132" s="14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</row>
    <row r="133">
      <c r="A133" s="141"/>
      <c r="B133" s="141"/>
      <c r="C133" s="141"/>
      <c r="D133" s="14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</row>
    <row r="134">
      <c r="A134" s="141"/>
      <c r="B134" s="141"/>
      <c r="C134" s="141"/>
      <c r="D134" s="14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</row>
    <row r="135">
      <c r="A135" s="141"/>
      <c r="B135" s="141"/>
      <c r="C135" s="141"/>
      <c r="D135" s="14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</row>
    <row r="136">
      <c r="A136" s="141"/>
      <c r="B136" s="141"/>
      <c r="C136" s="141"/>
      <c r="D136" s="14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</row>
    <row r="137">
      <c r="A137" s="141"/>
      <c r="B137" s="141"/>
      <c r="C137" s="141"/>
      <c r="D137" s="14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</row>
    <row r="138">
      <c r="A138" s="141"/>
      <c r="B138" s="141"/>
      <c r="C138" s="141"/>
      <c r="D138" s="14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</row>
    <row r="139">
      <c r="A139" s="141"/>
      <c r="B139" s="141"/>
      <c r="C139" s="141"/>
      <c r="D139" s="14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</row>
    <row r="140">
      <c r="A140" s="141"/>
      <c r="B140" s="141"/>
      <c r="C140" s="141"/>
      <c r="D140" s="14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</row>
    <row r="141">
      <c r="A141" s="141"/>
      <c r="B141" s="141"/>
      <c r="C141" s="141"/>
      <c r="D141" s="14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</row>
    <row r="142">
      <c r="A142" s="141"/>
      <c r="B142" s="141"/>
      <c r="C142" s="141"/>
      <c r="D142" s="14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</row>
    <row r="143">
      <c r="A143" s="141"/>
      <c r="B143" s="141"/>
      <c r="C143" s="141"/>
      <c r="D143" s="14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</row>
    <row r="144">
      <c r="A144" s="141"/>
      <c r="B144" s="141"/>
      <c r="C144" s="141"/>
      <c r="D144" s="14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</row>
    <row r="145">
      <c r="A145" s="141"/>
      <c r="B145" s="141"/>
      <c r="C145" s="141"/>
      <c r="D145" s="14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</row>
    <row r="146">
      <c r="A146" s="141"/>
      <c r="B146" s="141"/>
      <c r="C146" s="141"/>
      <c r="D146" s="14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</row>
    <row r="147">
      <c r="A147" s="141"/>
      <c r="B147" s="141"/>
      <c r="C147" s="141"/>
      <c r="D147" s="14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</row>
    <row r="148">
      <c r="A148" s="141"/>
      <c r="B148" s="141"/>
      <c r="C148" s="141"/>
      <c r="D148" s="14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</row>
    <row r="149">
      <c r="A149" s="141"/>
      <c r="B149" s="141"/>
      <c r="C149" s="141"/>
      <c r="D149" s="14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</row>
    <row r="150">
      <c r="A150" s="141"/>
      <c r="B150" s="141"/>
      <c r="C150" s="141"/>
      <c r="D150" s="14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</row>
    <row r="151">
      <c r="A151" s="141"/>
      <c r="B151" s="141"/>
      <c r="C151" s="141"/>
      <c r="D151" s="14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</row>
    <row r="152">
      <c r="A152" s="141"/>
      <c r="B152" s="141"/>
      <c r="C152" s="141"/>
      <c r="D152" s="14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</row>
    <row r="153">
      <c r="A153" s="141"/>
      <c r="B153" s="141"/>
      <c r="C153" s="141"/>
      <c r="D153" s="14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</row>
    <row r="154">
      <c r="A154" s="141"/>
      <c r="B154" s="141"/>
      <c r="C154" s="141"/>
      <c r="D154" s="14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</row>
    <row r="155">
      <c r="A155" s="141"/>
      <c r="B155" s="141"/>
      <c r="C155" s="141"/>
      <c r="D155" s="14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</row>
    <row r="156">
      <c r="A156" s="141"/>
      <c r="B156" s="141"/>
      <c r="C156" s="141"/>
      <c r="D156" s="14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</row>
    <row r="157">
      <c r="A157" s="141"/>
      <c r="B157" s="141"/>
      <c r="C157" s="141"/>
      <c r="D157" s="14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</row>
    <row r="158">
      <c r="A158" s="141"/>
      <c r="B158" s="141"/>
      <c r="C158" s="141"/>
      <c r="D158" s="14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</row>
    <row r="159">
      <c r="A159" s="141"/>
      <c r="B159" s="141"/>
      <c r="C159" s="141"/>
      <c r="D159" s="14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</row>
    <row r="160">
      <c r="A160" s="141"/>
      <c r="B160" s="141"/>
      <c r="C160" s="141"/>
      <c r="D160" s="14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</row>
    <row r="161">
      <c r="A161" s="141"/>
      <c r="B161" s="141"/>
      <c r="C161" s="141"/>
      <c r="D161" s="14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</row>
    <row r="162">
      <c r="A162" s="141"/>
      <c r="B162" s="141"/>
      <c r="C162" s="141"/>
      <c r="D162" s="14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</row>
    <row r="163">
      <c r="A163" s="141"/>
      <c r="B163" s="141"/>
      <c r="C163" s="141"/>
      <c r="D163" s="14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</row>
    <row r="164">
      <c r="A164" s="141"/>
      <c r="B164" s="141"/>
      <c r="C164" s="141"/>
      <c r="D164" s="14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</row>
    <row r="165">
      <c r="A165" s="141"/>
      <c r="B165" s="141"/>
      <c r="C165" s="141"/>
      <c r="D165" s="14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</row>
    <row r="166">
      <c r="A166" s="141"/>
      <c r="B166" s="141"/>
      <c r="C166" s="141"/>
      <c r="D166" s="14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</row>
    <row r="167">
      <c r="A167" s="141"/>
      <c r="B167" s="141"/>
      <c r="C167" s="141"/>
      <c r="D167" s="14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</row>
    <row r="168">
      <c r="A168" s="141"/>
      <c r="B168" s="141"/>
      <c r="C168" s="141"/>
      <c r="D168" s="14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</row>
    <row r="169">
      <c r="A169" s="141"/>
      <c r="B169" s="141"/>
      <c r="C169" s="141"/>
      <c r="D169" s="14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</row>
    <row r="170">
      <c r="A170" s="141"/>
      <c r="B170" s="141"/>
      <c r="C170" s="141"/>
      <c r="D170" s="14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</row>
    <row r="171">
      <c r="A171" s="141"/>
      <c r="B171" s="141"/>
      <c r="C171" s="141"/>
      <c r="D171" s="14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</row>
    <row r="172">
      <c r="A172" s="141"/>
      <c r="B172" s="141"/>
      <c r="C172" s="141"/>
      <c r="D172" s="14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</row>
    <row r="173">
      <c r="A173" s="141"/>
      <c r="B173" s="141"/>
      <c r="C173" s="141"/>
      <c r="D173" s="14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</row>
    <row r="174">
      <c r="A174" s="141"/>
      <c r="B174" s="141"/>
      <c r="C174" s="141"/>
      <c r="D174" s="14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</row>
    <row r="175">
      <c r="A175" s="141"/>
      <c r="B175" s="141"/>
      <c r="C175" s="141"/>
      <c r="D175" s="14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</row>
    <row r="176">
      <c r="A176" s="141"/>
      <c r="B176" s="141"/>
      <c r="C176" s="141"/>
      <c r="D176" s="14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</row>
    <row r="177">
      <c r="A177" s="141"/>
      <c r="B177" s="141"/>
      <c r="C177" s="141"/>
      <c r="D177" s="14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</row>
    <row r="178">
      <c r="A178" s="141"/>
      <c r="B178" s="141"/>
      <c r="C178" s="141"/>
      <c r="D178" s="14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</row>
    <row r="179">
      <c r="A179" s="141"/>
      <c r="B179" s="141"/>
      <c r="C179" s="141"/>
      <c r="D179" s="14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</row>
    <row r="180">
      <c r="A180" s="141"/>
      <c r="B180" s="141"/>
      <c r="C180" s="141"/>
      <c r="D180" s="14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</row>
    <row r="181">
      <c r="A181" s="141"/>
      <c r="B181" s="141"/>
      <c r="C181" s="141"/>
      <c r="D181" s="14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</row>
    <row r="182">
      <c r="A182" s="141"/>
      <c r="B182" s="141"/>
      <c r="C182" s="141"/>
      <c r="D182" s="14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</row>
    <row r="183">
      <c r="A183" s="141"/>
      <c r="B183" s="141"/>
      <c r="C183" s="141"/>
      <c r="D183" s="14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</row>
    <row r="184">
      <c r="A184" s="141"/>
      <c r="B184" s="141"/>
      <c r="C184" s="141"/>
      <c r="D184" s="14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</row>
    <row r="185">
      <c r="A185" s="141"/>
      <c r="B185" s="141"/>
      <c r="C185" s="141"/>
      <c r="D185" s="14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</row>
    <row r="186">
      <c r="A186" s="141"/>
      <c r="B186" s="141"/>
      <c r="C186" s="141"/>
      <c r="D186" s="14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</row>
    <row r="187">
      <c r="A187" s="141"/>
      <c r="B187" s="141"/>
      <c r="C187" s="141"/>
      <c r="D187" s="14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</row>
    <row r="188">
      <c r="A188" s="141"/>
      <c r="B188" s="141"/>
      <c r="C188" s="141"/>
      <c r="D188" s="14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</row>
    <row r="189">
      <c r="A189" s="141"/>
      <c r="B189" s="141"/>
      <c r="C189" s="141"/>
      <c r="D189" s="14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</row>
    <row r="190">
      <c r="A190" s="141"/>
      <c r="B190" s="141"/>
      <c r="C190" s="141"/>
      <c r="D190" s="14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</row>
    <row r="191">
      <c r="A191" s="141"/>
      <c r="B191" s="141"/>
      <c r="C191" s="141"/>
      <c r="D191" s="14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</row>
    <row r="192">
      <c r="A192" s="141"/>
      <c r="B192" s="141"/>
      <c r="C192" s="141"/>
      <c r="D192" s="14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</row>
    <row r="193">
      <c r="A193" s="141"/>
      <c r="B193" s="141"/>
      <c r="C193" s="141"/>
      <c r="D193" s="14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</row>
    <row r="194">
      <c r="A194" s="141"/>
      <c r="B194" s="141"/>
      <c r="C194" s="141"/>
      <c r="D194" s="14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</row>
    <row r="195">
      <c r="A195" s="141"/>
      <c r="B195" s="141"/>
      <c r="C195" s="141"/>
      <c r="D195" s="14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</row>
    <row r="196">
      <c r="A196" s="141"/>
      <c r="B196" s="141"/>
      <c r="C196" s="141"/>
      <c r="D196" s="14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</row>
    <row r="197">
      <c r="A197" s="141"/>
      <c r="B197" s="141"/>
      <c r="C197" s="141"/>
      <c r="D197" s="14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</row>
    <row r="198">
      <c r="A198" s="141"/>
      <c r="B198" s="141"/>
      <c r="C198" s="141"/>
      <c r="D198" s="14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</row>
    <row r="199">
      <c r="A199" s="141"/>
      <c r="B199" s="141"/>
      <c r="C199" s="141"/>
      <c r="D199" s="14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</row>
    <row r="200">
      <c r="A200" s="141"/>
      <c r="B200" s="141"/>
      <c r="C200" s="141"/>
      <c r="D200" s="14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</row>
    <row r="201">
      <c r="A201" s="141"/>
      <c r="B201" s="141"/>
      <c r="C201" s="141"/>
      <c r="D201" s="14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</row>
    <row r="202">
      <c r="A202" s="141"/>
      <c r="B202" s="141"/>
      <c r="C202" s="141"/>
      <c r="D202" s="14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</row>
    <row r="203">
      <c r="A203" s="141"/>
      <c r="B203" s="141"/>
      <c r="C203" s="141"/>
      <c r="D203" s="14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</row>
    <row r="204">
      <c r="A204" s="141"/>
      <c r="B204" s="141"/>
      <c r="C204" s="141"/>
      <c r="D204" s="14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</row>
    <row r="205">
      <c r="A205" s="141"/>
      <c r="B205" s="141"/>
      <c r="C205" s="141"/>
      <c r="D205" s="14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</row>
    <row r="206">
      <c r="A206" s="141"/>
      <c r="B206" s="141"/>
      <c r="C206" s="141"/>
      <c r="D206" s="14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</row>
    <row r="207">
      <c r="A207" s="141"/>
      <c r="B207" s="141"/>
      <c r="C207" s="141"/>
      <c r="D207" s="14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</row>
    <row r="208">
      <c r="A208" s="141"/>
      <c r="B208" s="141"/>
      <c r="C208" s="141"/>
      <c r="D208" s="14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</row>
    <row r="209">
      <c r="A209" s="141"/>
      <c r="B209" s="141"/>
      <c r="C209" s="141"/>
      <c r="D209" s="14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</row>
    <row r="210">
      <c r="A210" s="141"/>
      <c r="B210" s="141"/>
      <c r="C210" s="141"/>
      <c r="D210" s="14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</row>
    <row r="211">
      <c r="A211" s="141"/>
      <c r="B211" s="141"/>
      <c r="C211" s="141"/>
      <c r="D211" s="14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</row>
    <row r="212">
      <c r="A212" s="141"/>
      <c r="B212" s="141"/>
      <c r="C212" s="141"/>
      <c r="D212" s="14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</row>
    <row r="213">
      <c r="A213" s="141"/>
      <c r="B213" s="141"/>
      <c r="C213" s="141"/>
      <c r="D213" s="14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</row>
    <row r="214">
      <c r="A214" s="141"/>
      <c r="B214" s="141"/>
      <c r="C214" s="141"/>
      <c r="D214" s="14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</row>
    <row r="215">
      <c r="A215" s="141"/>
      <c r="B215" s="141"/>
      <c r="C215" s="141"/>
      <c r="D215" s="14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</row>
    <row r="216">
      <c r="A216" s="141"/>
      <c r="B216" s="141"/>
      <c r="C216" s="141"/>
      <c r="D216" s="14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</row>
    <row r="217">
      <c r="A217" s="141"/>
      <c r="B217" s="141"/>
      <c r="C217" s="141"/>
      <c r="D217" s="14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</row>
    <row r="218">
      <c r="A218" s="141"/>
      <c r="B218" s="141"/>
      <c r="C218" s="141"/>
      <c r="D218" s="14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</row>
    <row r="219">
      <c r="A219" s="141"/>
      <c r="B219" s="141"/>
      <c r="C219" s="141"/>
      <c r="D219" s="14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</row>
    <row r="220">
      <c r="A220" s="141"/>
      <c r="B220" s="141"/>
      <c r="C220" s="141"/>
      <c r="D220" s="14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</row>
    <row r="221">
      <c r="A221" s="141"/>
      <c r="B221" s="141"/>
      <c r="C221" s="141"/>
      <c r="D221" s="14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</row>
    <row r="222">
      <c r="A222" s="141"/>
      <c r="B222" s="141"/>
      <c r="C222" s="141"/>
      <c r="D222" s="14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</row>
    <row r="223">
      <c r="A223" s="141"/>
      <c r="B223" s="141"/>
      <c r="C223" s="141"/>
      <c r="D223" s="14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</row>
    <row r="224">
      <c r="A224" s="141"/>
      <c r="B224" s="141"/>
      <c r="C224" s="141"/>
      <c r="D224" s="14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</row>
    <row r="225">
      <c r="A225" s="141"/>
      <c r="B225" s="141"/>
      <c r="C225" s="141"/>
      <c r="D225" s="14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</row>
    <row r="226">
      <c r="A226" s="141"/>
      <c r="B226" s="141"/>
      <c r="C226" s="141"/>
      <c r="D226" s="14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</row>
    <row r="227">
      <c r="A227" s="141"/>
      <c r="B227" s="141"/>
      <c r="C227" s="141"/>
      <c r="D227" s="14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</row>
    <row r="228">
      <c r="A228" s="141"/>
      <c r="B228" s="141"/>
      <c r="C228" s="141"/>
      <c r="D228" s="14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</row>
    <row r="229">
      <c r="A229" s="141"/>
      <c r="B229" s="141"/>
      <c r="C229" s="141"/>
      <c r="D229" s="14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</row>
    <row r="230">
      <c r="A230" s="141"/>
      <c r="B230" s="141"/>
      <c r="C230" s="141"/>
      <c r="D230" s="14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</row>
    <row r="231">
      <c r="A231" s="141"/>
      <c r="B231" s="141"/>
      <c r="C231" s="141"/>
      <c r="D231" s="14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</row>
    <row r="232">
      <c r="A232" s="141"/>
      <c r="B232" s="141"/>
      <c r="C232" s="141"/>
      <c r="D232" s="14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</row>
    <row r="233">
      <c r="A233" s="141"/>
      <c r="B233" s="141"/>
      <c r="C233" s="141"/>
      <c r="D233" s="14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</row>
    <row r="234">
      <c r="A234" s="141"/>
      <c r="B234" s="141"/>
      <c r="C234" s="141"/>
      <c r="D234" s="14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</row>
    <row r="235">
      <c r="A235" s="141"/>
      <c r="B235" s="141"/>
      <c r="C235" s="141"/>
      <c r="D235" s="14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</row>
    <row r="236">
      <c r="A236" s="141"/>
      <c r="B236" s="141"/>
      <c r="C236" s="141"/>
      <c r="D236" s="14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</row>
    <row r="237">
      <c r="A237" s="141"/>
      <c r="B237" s="141"/>
      <c r="C237" s="141"/>
      <c r="D237" s="14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</row>
    <row r="238">
      <c r="A238" s="141"/>
      <c r="B238" s="141"/>
      <c r="C238" s="141"/>
      <c r="D238" s="14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</row>
    <row r="239">
      <c r="A239" s="141"/>
      <c r="B239" s="141"/>
      <c r="C239" s="141"/>
      <c r="D239" s="14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</row>
    <row r="240">
      <c r="A240" s="141"/>
      <c r="B240" s="141"/>
      <c r="C240" s="141"/>
      <c r="D240" s="14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</row>
    <row r="241">
      <c r="A241" s="141"/>
      <c r="B241" s="141"/>
      <c r="C241" s="141"/>
      <c r="D241" s="14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</row>
    <row r="242">
      <c r="A242" s="141"/>
      <c r="B242" s="141"/>
      <c r="C242" s="141"/>
      <c r="D242" s="14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</row>
    <row r="243">
      <c r="A243" s="141"/>
      <c r="B243" s="141"/>
      <c r="C243" s="141"/>
      <c r="D243" s="14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</row>
    <row r="244">
      <c r="A244" s="141"/>
      <c r="B244" s="141"/>
      <c r="C244" s="141"/>
      <c r="D244" s="14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</row>
    <row r="245">
      <c r="A245" s="141"/>
      <c r="B245" s="141"/>
      <c r="C245" s="141"/>
      <c r="D245" s="14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</row>
    <row r="246">
      <c r="A246" s="141"/>
      <c r="B246" s="141"/>
      <c r="C246" s="141"/>
      <c r="D246" s="14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</row>
    <row r="247">
      <c r="A247" s="141"/>
      <c r="B247" s="141"/>
      <c r="C247" s="141"/>
      <c r="D247" s="14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</row>
    <row r="248">
      <c r="A248" s="141"/>
      <c r="B248" s="141"/>
      <c r="C248" s="141"/>
      <c r="D248" s="14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</row>
    <row r="249">
      <c r="A249" s="141"/>
      <c r="B249" s="141"/>
      <c r="C249" s="141"/>
      <c r="D249" s="14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</row>
    <row r="250">
      <c r="A250" s="141"/>
      <c r="B250" s="141"/>
      <c r="C250" s="141"/>
      <c r="D250" s="14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</row>
    <row r="251">
      <c r="A251" s="141"/>
      <c r="B251" s="141"/>
      <c r="C251" s="141"/>
      <c r="D251" s="14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</row>
    <row r="252">
      <c r="A252" s="141"/>
      <c r="B252" s="141"/>
      <c r="C252" s="141"/>
      <c r="D252" s="14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</row>
    <row r="253">
      <c r="A253" s="141"/>
      <c r="B253" s="141"/>
      <c r="C253" s="141"/>
      <c r="D253" s="14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</row>
    <row r="254">
      <c r="A254" s="141"/>
      <c r="B254" s="141"/>
      <c r="C254" s="141"/>
      <c r="D254" s="14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</row>
    <row r="255">
      <c r="A255" s="141"/>
      <c r="B255" s="141"/>
      <c r="C255" s="141"/>
      <c r="D255" s="14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</row>
    <row r="256">
      <c r="A256" s="141"/>
      <c r="B256" s="141"/>
      <c r="C256" s="141"/>
      <c r="D256" s="14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</row>
    <row r="257">
      <c r="A257" s="141"/>
      <c r="B257" s="141"/>
      <c r="C257" s="141"/>
      <c r="D257" s="14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</row>
    <row r="258">
      <c r="A258" s="141"/>
      <c r="B258" s="141"/>
      <c r="C258" s="141"/>
      <c r="D258" s="14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</row>
    <row r="259">
      <c r="A259" s="141"/>
      <c r="B259" s="141"/>
      <c r="C259" s="141"/>
      <c r="D259" s="14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</row>
    <row r="260">
      <c r="A260" s="141"/>
      <c r="B260" s="141"/>
      <c r="C260" s="141"/>
      <c r="D260" s="14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</row>
    <row r="261">
      <c r="A261" s="141"/>
      <c r="B261" s="141"/>
      <c r="C261" s="141"/>
      <c r="D261" s="14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</row>
    <row r="262">
      <c r="A262" s="141"/>
      <c r="B262" s="141"/>
      <c r="C262" s="141"/>
      <c r="D262" s="14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</row>
    <row r="263">
      <c r="A263" s="141"/>
      <c r="B263" s="141"/>
      <c r="C263" s="141"/>
      <c r="D263" s="14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</row>
    <row r="264">
      <c r="A264" s="141"/>
      <c r="B264" s="141"/>
      <c r="C264" s="141"/>
      <c r="D264" s="14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</row>
    <row r="265">
      <c r="A265" s="141"/>
      <c r="B265" s="141"/>
      <c r="C265" s="141"/>
      <c r="D265" s="14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</row>
    <row r="266">
      <c r="A266" s="141"/>
      <c r="B266" s="141"/>
      <c r="C266" s="141"/>
      <c r="D266" s="14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</row>
    <row r="267">
      <c r="A267" s="141"/>
      <c r="B267" s="141"/>
      <c r="C267" s="141"/>
      <c r="D267" s="14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</row>
    <row r="268">
      <c r="A268" s="141"/>
      <c r="B268" s="141"/>
      <c r="C268" s="141"/>
      <c r="D268" s="14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</row>
    <row r="269">
      <c r="A269" s="141"/>
      <c r="B269" s="141"/>
      <c r="C269" s="141"/>
      <c r="D269" s="14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</row>
    <row r="270">
      <c r="A270" s="141"/>
      <c r="B270" s="141"/>
      <c r="C270" s="141"/>
      <c r="D270" s="14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</row>
    <row r="271">
      <c r="A271" s="141"/>
      <c r="B271" s="141"/>
      <c r="C271" s="141"/>
      <c r="D271" s="14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</row>
    <row r="272">
      <c r="A272" s="141"/>
      <c r="B272" s="141"/>
      <c r="C272" s="141"/>
      <c r="D272" s="14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</row>
    <row r="273">
      <c r="A273" s="141"/>
      <c r="B273" s="141"/>
      <c r="C273" s="141"/>
      <c r="D273" s="14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</row>
    <row r="274">
      <c r="A274" s="141"/>
      <c r="B274" s="141"/>
      <c r="C274" s="141"/>
      <c r="D274" s="14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</row>
    <row r="275">
      <c r="A275" s="141"/>
      <c r="B275" s="141"/>
      <c r="C275" s="141"/>
      <c r="D275" s="14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</row>
    <row r="276">
      <c r="A276" s="141"/>
      <c r="B276" s="141"/>
      <c r="C276" s="141"/>
      <c r="D276" s="14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</row>
    <row r="277">
      <c r="A277" s="141"/>
      <c r="B277" s="141"/>
      <c r="C277" s="141"/>
      <c r="D277" s="14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</row>
    <row r="278">
      <c r="A278" s="141"/>
      <c r="B278" s="141"/>
      <c r="C278" s="141"/>
      <c r="D278" s="14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</row>
    <row r="279">
      <c r="A279" s="141"/>
      <c r="B279" s="141"/>
      <c r="C279" s="141"/>
      <c r="D279" s="14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</row>
    <row r="280">
      <c r="A280" s="141"/>
      <c r="B280" s="141"/>
      <c r="C280" s="141"/>
      <c r="D280" s="14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</row>
    <row r="281">
      <c r="A281" s="141"/>
      <c r="B281" s="141"/>
      <c r="C281" s="141"/>
      <c r="D281" s="14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</row>
    <row r="282">
      <c r="A282" s="141"/>
      <c r="B282" s="141"/>
      <c r="C282" s="141"/>
      <c r="D282" s="14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</row>
    <row r="283">
      <c r="A283" s="141"/>
      <c r="B283" s="141"/>
      <c r="C283" s="141"/>
      <c r="D283" s="14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</row>
    <row r="284">
      <c r="A284" s="141"/>
      <c r="B284" s="141"/>
      <c r="C284" s="141"/>
      <c r="D284" s="14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</row>
    <row r="285">
      <c r="A285" s="141"/>
      <c r="B285" s="141"/>
      <c r="C285" s="141"/>
      <c r="D285" s="14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</row>
    <row r="286">
      <c r="A286" s="141"/>
      <c r="B286" s="141"/>
      <c r="C286" s="141"/>
      <c r="D286" s="14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</row>
    <row r="287">
      <c r="A287" s="141"/>
      <c r="B287" s="141"/>
      <c r="C287" s="141"/>
      <c r="D287" s="14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</row>
    <row r="288">
      <c r="A288" s="141"/>
      <c r="B288" s="141"/>
      <c r="C288" s="141"/>
      <c r="D288" s="14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</row>
    <row r="289">
      <c r="A289" s="141"/>
      <c r="B289" s="141"/>
      <c r="C289" s="141"/>
      <c r="D289" s="14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</row>
    <row r="290">
      <c r="A290" s="141"/>
      <c r="B290" s="141"/>
      <c r="C290" s="141"/>
      <c r="D290" s="14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</row>
    <row r="291">
      <c r="A291" s="141"/>
      <c r="B291" s="141"/>
      <c r="C291" s="141"/>
      <c r="D291" s="14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</row>
    <row r="292">
      <c r="A292" s="141"/>
      <c r="B292" s="141"/>
      <c r="C292" s="141"/>
      <c r="D292" s="14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</row>
    <row r="293">
      <c r="A293" s="141"/>
      <c r="B293" s="141"/>
      <c r="C293" s="141"/>
      <c r="D293" s="14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</row>
    <row r="294">
      <c r="A294" s="141"/>
      <c r="B294" s="141"/>
      <c r="C294" s="141"/>
      <c r="D294" s="14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</row>
    <row r="295">
      <c r="A295" s="141"/>
      <c r="B295" s="141"/>
      <c r="C295" s="141"/>
      <c r="D295" s="14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</row>
    <row r="296">
      <c r="A296" s="141"/>
      <c r="B296" s="141"/>
      <c r="C296" s="141"/>
      <c r="D296" s="14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</row>
    <row r="297">
      <c r="A297" s="141"/>
      <c r="B297" s="141"/>
      <c r="C297" s="141"/>
      <c r="D297" s="14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</row>
    <row r="298">
      <c r="A298" s="141"/>
      <c r="B298" s="141"/>
      <c r="C298" s="141"/>
      <c r="D298" s="14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</row>
    <row r="299">
      <c r="A299" s="141"/>
      <c r="B299" s="141"/>
      <c r="C299" s="141"/>
      <c r="D299" s="14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</row>
    <row r="300">
      <c r="A300" s="141"/>
      <c r="B300" s="141"/>
      <c r="C300" s="141"/>
      <c r="D300" s="14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</row>
    <row r="301">
      <c r="A301" s="141"/>
      <c r="B301" s="141"/>
      <c r="C301" s="141"/>
      <c r="D301" s="14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</row>
    <row r="302">
      <c r="A302" s="141"/>
      <c r="B302" s="141"/>
      <c r="C302" s="141"/>
      <c r="D302" s="14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</row>
    <row r="303">
      <c r="A303" s="141"/>
      <c r="B303" s="141"/>
      <c r="C303" s="141"/>
      <c r="D303" s="14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</row>
    <row r="304">
      <c r="A304" s="141"/>
      <c r="B304" s="141"/>
      <c r="C304" s="141"/>
      <c r="D304" s="14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</row>
    <row r="305">
      <c r="A305" s="141"/>
      <c r="B305" s="141"/>
      <c r="C305" s="141"/>
      <c r="D305" s="14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</row>
    <row r="306">
      <c r="A306" s="141"/>
      <c r="B306" s="141"/>
      <c r="C306" s="141"/>
      <c r="D306" s="14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</row>
    <row r="307">
      <c r="A307" s="141"/>
      <c r="B307" s="141"/>
      <c r="C307" s="141"/>
      <c r="D307" s="14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</row>
    <row r="308">
      <c r="A308" s="141"/>
      <c r="B308" s="141"/>
      <c r="C308" s="141"/>
      <c r="D308" s="14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</row>
    <row r="309">
      <c r="A309" s="141"/>
      <c r="B309" s="141"/>
      <c r="C309" s="141"/>
      <c r="D309" s="14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</row>
    <row r="310">
      <c r="A310" s="141"/>
      <c r="B310" s="141"/>
      <c r="C310" s="141"/>
      <c r="D310" s="14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</row>
    <row r="311">
      <c r="A311" s="141"/>
      <c r="B311" s="141"/>
      <c r="C311" s="141"/>
      <c r="D311" s="14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</row>
    <row r="312">
      <c r="A312" s="141"/>
      <c r="B312" s="141"/>
      <c r="C312" s="141"/>
      <c r="D312" s="14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</row>
    <row r="313">
      <c r="A313" s="141"/>
      <c r="B313" s="141"/>
      <c r="C313" s="141"/>
      <c r="D313" s="14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</row>
    <row r="314">
      <c r="A314" s="141"/>
      <c r="B314" s="141"/>
      <c r="C314" s="141"/>
      <c r="D314" s="14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</row>
    <row r="315">
      <c r="A315" s="141"/>
      <c r="B315" s="141"/>
      <c r="C315" s="141"/>
      <c r="D315" s="14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</row>
    <row r="316">
      <c r="A316" s="141"/>
      <c r="B316" s="141"/>
      <c r="C316" s="141"/>
      <c r="D316" s="14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</row>
    <row r="317">
      <c r="A317" s="141"/>
      <c r="B317" s="141"/>
      <c r="C317" s="141"/>
      <c r="D317" s="14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</row>
    <row r="318">
      <c r="A318" s="141"/>
      <c r="B318" s="141"/>
      <c r="C318" s="141"/>
      <c r="D318" s="14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</row>
    <row r="319">
      <c r="A319" s="141"/>
      <c r="B319" s="141"/>
      <c r="C319" s="141"/>
      <c r="D319" s="14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</row>
    <row r="320">
      <c r="A320" s="141"/>
      <c r="B320" s="141"/>
      <c r="C320" s="141"/>
      <c r="D320" s="14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</row>
    <row r="321">
      <c r="A321" s="141"/>
      <c r="B321" s="141"/>
      <c r="C321" s="141"/>
      <c r="D321" s="14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</row>
    <row r="322">
      <c r="A322" s="141"/>
      <c r="B322" s="141"/>
      <c r="C322" s="141"/>
      <c r="D322" s="14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</row>
    <row r="323">
      <c r="A323" s="141"/>
      <c r="B323" s="141"/>
      <c r="C323" s="141"/>
      <c r="D323" s="14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</row>
    <row r="324">
      <c r="A324" s="141"/>
      <c r="B324" s="141"/>
      <c r="C324" s="141"/>
      <c r="D324" s="14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</row>
    <row r="325">
      <c r="A325" s="141"/>
      <c r="B325" s="141"/>
      <c r="C325" s="141"/>
      <c r="D325" s="14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</row>
    <row r="326">
      <c r="A326" s="141"/>
      <c r="B326" s="141"/>
      <c r="C326" s="141"/>
      <c r="D326" s="14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</row>
    <row r="327">
      <c r="A327" s="141"/>
      <c r="B327" s="141"/>
      <c r="C327" s="141"/>
      <c r="D327" s="14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</row>
    <row r="328">
      <c r="A328" s="141"/>
      <c r="B328" s="141"/>
      <c r="C328" s="141"/>
      <c r="D328" s="14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</row>
    <row r="329">
      <c r="A329" s="141"/>
      <c r="B329" s="141"/>
      <c r="C329" s="141"/>
      <c r="D329" s="14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</row>
    <row r="330">
      <c r="A330" s="141"/>
      <c r="B330" s="141"/>
      <c r="C330" s="141"/>
      <c r="D330" s="14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</row>
    <row r="331">
      <c r="A331" s="141"/>
      <c r="B331" s="141"/>
      <c r="C331" s="141"/>
      <c r="D331" s="14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</row>
    <row r="332">
      <c r="A332" s="141"/>
      <c r="B332" s="141"/>
      <c r="C332" s="141"/>
      <c r="D332" s="14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</row>
    <row r="333">
      <c r="A333" s="141"/>
      <c r="B333" s="141"/>
      <c r="C333" s="141"/>
      <c r="D333" s="14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</row>
    <row r="334">
      <c r="A334" s="141"/>
      <c r="B334" s="141"/>
      <c r="C334" s="141"/>
      <c r="D334" s="14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</row>
    <row r="335">
      <c r="A335" s="141"/>
      <c r="B335" s="141"/>
      <c r="C335" s="141"/>
      <c r="D335" s="14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</row>
    <row r="336">
      <c r="A336" s="141"/>
      <c r="B336" s="141"/>
      <c r="C336" s="141"/>
      <c r="D336" s="14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</row>
    <row r="337">
      <c r="A337" s="141"/>
      <c r="B337" s="141"/>
      <c r="C337" s="141"/>
      <c r="D337" s="14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</row>
    <row r="338">
      <c r="A338" s="141"/>
      <c r="B338" s="141"/>
      <c r="C338" s="141"/>
      <c r="D338" s="14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</row>
    <row r="339">
      <c r="A339" s="141"/>
      <c r="B339" s="141"/>
      <c r="C339" s="141"/>
      <c r="D339" s="14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</row>
    <row r="340">
      <c r="A340" s="141"/>
      <c r="B340" s="141"/>
      <c r="C340" s="141"/>
      <c r="D340" s="14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</row>
    <row r="341">
      <c r="A341" s="141"/>
      <c r="B341" s="141"/>
      <c r="C341" s="141"/>
      <c r="D341" s="14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</row>
    <row r="342">
      <c r="A342" s="141"/>
      <c r="B342" s="141"/>
      <c r="C342" s="141"/>
      <c r="D342" s="14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</row>
    <row r="343">
      <c r="A343" s="141"/>
      <c r="B343" s="141"/>
      <c r="C343" s="141"/>
      <c r="D343" s="14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</row>
    <row r="344">
      <c r="A344" s="141"/>
      <c r="B344" s="141"/>
      <c r="C344" s="141"/>
      <c r="D344" s="14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</row>
    <row r="345">
      <c r="A345" s="141"/>
      <c r="B345" s="141"/>
      <c r="C345" s="141"/>
      <c r="D345" s="14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</row>
    <row r="346">
      <c r="A346" s="141"/>
      <c r="B346" s="141"/>
      <c r="C346" s="141"/>
      <c r="D346" s="14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</row>
    <row r="347">
      <c r="A347" s="141"/>
      <c r="B347" s="141"/>
      <c r="C347" s="141"/>
      <c r="D347" s="14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</row>
    <row r="348">
      <c r="A348" s="141"/>
      <c r="B348" s="141"/>
      <c r="C348" s="141"/>
      <c r="D348" s="14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</row>
    <row r="349">
      <c r="A349" s="141"/>
      <c r="B349" s="141"/>
      <c r="C349" s="141"/>
      <c r="D349" s="14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</row>
    <row r="350">
      <c r="A350" s="141"/>
      <c r="B350" s="141"/>
      <c r="C350" s="141"/>
      <c r="D350" s="14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</row>
    <row r="351">
      <c r="A351" s="141"/>
      <c r="B351" s="141"/>
      <c r="C351" s="141"/>
      <c r="D351" s="14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</row>
    <row r="352">
      <c r="A352" s="141"/>
      <c r="B352" s="141"/>
      <c r="C352" s="141"/>
      <c r="D352" s="14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</row>
    <row r="353">
      <c r="A353" s="141"/>
      <c r="B353" s="141"/>
      <c r="C353" s="141"/>
      <c r="D353" s="14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</row>
    <row r="354">
      <c r="A354" s="141"/>
      <c r="B354" s="141"/>
      <c r="C354" s="141"/>
      <c r="D354" s="14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</row>
    <row r="355">
      <c r="A355" s="141"/>
      <c r="B355" s="141"/>
      <c r="C355" s="141"/>
      <c r="D355" s="14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</row>
    <row r="356">
      <c r="A356" s="141"/>
      <c r="B356" s="141"/>
      <c r="C356" s="141"/>
      <c r="D356" s="14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</row>
    <row r="357">
      <c r="A357" s="141"/>
      <c r="B357" s="141"/>
      <c r="C357" s="141"/>
      <c r="D357" s="14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</row>
    <row r="358">
      <c r="A358" s="141"/>
      <c r="B358" s="141"/>
      <c r="C358" s="141"/>
      <c r="D358" s="14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</row>
    <row r="359">
      <c r="A359" s="141"/>
      <c r="B359" s="141"/>
      <c r="C359" s="141"/>
      <c r="D359" s="14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</row>
    <row r="360">
      <c r="A360" s="141"/>
      <c r="B360" s="141"/>
      <c r="C360" s="141"/>
      <c r="D360" s="14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</row>
    <row r="361">
      <c r="A361" s="141"/>
      <c r="B361" s="141"/>
      <c r="C361" s="141"/>
      <c r="D361" s="14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</row>
    <row r="362">
      <c r="A362" s="141"/>
      <c r="B362" s="141"/>
      <c r="C362" s="141"/>
      <c r="D362" s="14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</row>
    <row r="363">
      <c r="A363" s="141"/>
      <c r="B363" s="141"/>
      <c r="C363" s="141"/>
      <c r="D363" s="14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</row>
    <row r="364">
      <c r="A364" s="141"/>
      <c r="B364" s="141"/>
      <c r="C364" s="141"/>
      <c r="D364" s="14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</row>
    <row r="365">
      <c r="A365" s="141"/>
      <c r="B365" s="141"/>
      <c r="C365" s="141"/>
      <c r="D365" s="14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</row>
    <row r="366">
      <c r="A366" s="141"/>
      <c r="B366" s="141"/>
      <c r="C366" s="141"/>
      <c r="D366" s="14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</row>
    <row r="367">
      <c r="A367" s="141"/>
      <c r="B367" s="141"/>
      <c r="C367" s="141"/>
      <c r="D367" s="14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</row>
    <row r="368">
      <c r="A368" s="141"/>
      <c r="B368" s="141"/>
      <c r="C368" s="141"/>
      <c r="D368" s="14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</row>
    <row r="369">
      <c r="A369" s="141"/>
      <c r="B369" s="141"/>
      <c r="C369" s="141"/>
      <c r="D369" s="14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</row>
    <row r="370">
      <c r="A370" s="141"/>
      <c r="B370" s="141"/>
      <c r="C370" s="141"/>
      <c r="D370" s="14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</row>
    <row r="371">
      <c r="A371" s="141"/>
      <c r="B371" s="141"/>
      <c r="C371" s="141"/>
      <c r="D371" s="14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</row>
    <row r="372">
      <c r="A372" s="141"/>
      <c r="B372" s="141"/>
      <c r="C372" s="141"/>
      <c r="D372" s="14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</row>
    <row r="373">
      <c r="A373" s="141"/>
      <c r="B373" s="141"/>
      <c r="C373" s="141"/>
      <c r="D373" s="14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</row>
    <row r="374">
      <c r="A374" s="141"/>
      <c r="B374" s="141"/>
      <c r="C374" s="141"/>
      <c r="D374" s="14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</row>
    <row r="375">
      <c r="A375" s="141"/>
      <c r="B375" s="141"/>
      <c r="C375" s="141"/>
      <c r="D375" s="14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</row>
    <row r="376">
      <c r="A376" s="141"/>
      <c r="B376" s="141"/>
      <c r="C376" s="141"/>
      <c r="D376" s="14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</row>
    <row r="377">
      <c r="A377" s="141"/>
      <c r="B377" s="141"/>
      <c r="C377" s="141"/>
      <c r="D377" s="14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</row>
    <row r="378">
      <c r="A378" s="141"/>
      <c r="B378" s="141"/>
      <c r="C378" s="141"/>
      <c r="D378" s="14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</row>
    <row r="379">
      <c r="A379" s="141"/>
      <c r="B379" s="141"/>
      <c r="C379" s="141"/>
      <c r="D379" s="14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</row>
    <row r="380">
      <c r="A380" s="141"/>
      <c r="B380" s="141"/>
      <c r="C380" s="141"/>
      <c r="D380" s="14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</row>
    <row r="381">
      <c r="A381" s="141"/>
      <c r="B381" s="141"/>
      <c r="C381" s="141"/>
      <c r="D381" s="14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</row>
    <row r="382">
      <c r="A382" s="141"/>
      <c r="B382" s="141"/>
      <c r="C382" s="141"/>
      <c r="D382" s="14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</row>
    <row r="383">
      <c r="A383" s="141"/>
      <c r="B383" s="141"/>
      <c r="C383" s="141"/>
      <c r="D383" s="14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</row>
    <row r="384">
      <c r="A384" s="141"/>
      <c r="B384" s="141"/>
      <c r="C384" s="141"/>
      <c r="D384" s="14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</row>
    <row r="385">
      <c r="A385" s="141"/>
      <c r="B385" s="141"/>
      <c r="C385" s="141"/>
      <c r="D385" s="14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</row>
    <row r="386">
      <c r="A386" s="141"/>
      <c r="B386" s="141"/>
      <c r="C386" s="141"/>
      <c r="D386" s="14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</row>
    <row r="387">
      <c r="A387" s="141"/>
      <c r="B387" s="141"/>
      <c r="C387" s="141"/>
      <c r="D387" s="14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</row>
    <row r="388">
      <c r="A388" s="141"/>
      <c r="B388" s="141"/>
      <c r="C388" s="141"/>
      <c r="D388" s="14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</row>
    <row r="389">
      <c r="A389" s="141"/>
      <c r="B389" s="141"/>
      <c r="C389" s="141"/>
      <c r="D389" s="14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</row>
    <row r="390">
      <c r="A390" s="141"/>
      <c r="B390" s="141"/>
      <c r="C390" s="141"/>
      <c r="D390" s="14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</row>
    <row r="391">
      <c r="A391" s="141"/>
      <c r="B391" s="141"/>
      <c r="C391" s="141"/>
      <c r="D391" s="14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</row>
    <row r="392">
      <c r="A392" s="141"/>
      <c r="B392" s="141"/>
      <c r="C392" s="141"/>
      <c r="D392" s="14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</row>
    <row r="393">
      <c r="A393" s="141"/>
      <c r="B393" s="141"/>
      <c r="C393" s="141"/>
      <c r="D393" s="14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</row>
    <row r="394">
      <c r="A394" s="141"/>
      <c r="B394" s="141"/>
      <c r="C394" s="141"/>
      <c r="D394" s="14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</row>
    <row r="395">
      <c r="A395" s="141"/>
      <c r="B395" s="141"/>
      <c r="C395" s="141"/>
      <c r="D395" s="14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</row>
    <row r="396">
      <c r="A396" s="141"/>
      <c r="B396" s="141"/>
      <c r="C396" s="141"/>
      <c r="D396" s="14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</row>
    <row r="397">
      <c r="A397" s="141"/>
      <c r="B397" s="141"/>
      <c r="C397" s="141"/>
      <c r="D397" s="14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</row>
    <row r="398">
      <c r="A398" s="141"/>
      <c r="B398" s="141"/>
      <c r="C398" s="141"/>
      <c r="D398" s="14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</row>
    <row r="399">
      <c r="A399" s="141"/>
      <c r="B399" s="141"/>
      <c r="C399" s="141"/>
      <c r="D399" s="14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</row>
    <row r="400">
      <c r="A400" s="141"/>
      <c r="B400" s="141"/>
      <c r="C400" s="141"/>
      <c r="D400" s="14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</row>
    <row r="401">
      <c r="A401" s="141"/>
      <c r="B401" s="141"/>
      <c r="C401" s="141"/>
      <c r="D401" s="14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</row>
    <row r="402">
      <c r="A402" s="141"/>
      <c r="B402" s="141"/>
      <c r="C402" s="141"/>
      <c r="D402" s="14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</row>
    <row r="403">
      <c r="A403" s="141"/>
      <c r="B403" s="141"/>
      <c r="C403" s="141"/>
      <c r="D403" s="14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</row>
    <row r="404">
      <c r="A404" s="141"/>
      <c r="B404" s="141"/>
      <c r="C404" s="141"/>
      <c r="D404" s="14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</row>
    <row r="405">
      <c r="A405" s="141"/>
      <c r="B405" s="141"/>
      <c r="C405" s="141"/>
      <c r="D405" s="14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</row>
    <row r="406">
      <c r="A406" s="141"/>
      <c r="B406" s="141"/>
      <c r="C406" s="141"/>
      <c r="D406" s="14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</row>
    <row r="407">
      <c r="A407" s="141"/>
      <c r="B407" s="141"/>
      <c r="C407" s="141"/>
      <c r="D407" s="14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</row>
    <row r="408">
      <c r="A408" s="141"/>
      <c r="B408" s="141"/>
      <c r="C408" s="141"/>
      <c r="D408" s="14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</row>
    <row r="409">
      <c r="A409" s="141"/>
      <c r="B409" s="141"/>
      <c r="C409" s="141"/>
      <c r="D409" s="14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</row>
    <row r="410">
      <c r="A410" s="141"/>
      <c r="B410" s="141"/>
      <c r="C410" s="141"/>
      <c r="D410" s="14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</row>
    <row r="411">
      <c r="A411" s="141"/>
      <c r="B411" s="141"/>
      <c r="C411" s="141"/>
      <c r="D411" s="14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</row>
    <row r="412">
      <c r="A412" s="141"/>
      <c r="B412" s="141"/>
      <c r="C412" s="141"/>
      <c r="D412" s="14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</row>
    <row r="413">
      <c r="A413" s="141"/>
      <c r="B413" s="141"/>
      <c r="C413" s="141"/>
      <c r="D413" s="14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</row>
    <row r="414">
      <c r="A414" s="141"/>
      <c r="B414" s="141"/>
      <c r="C414" s="141"/>
      <c r="D414" s="14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</row>
    <row r="415">
      <c r="A415" s="141"/>
      <c r="B415" s="141"/>
      <c r="C415" s="141"/>
      <c r="D415" s="14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</row>
    <row r="416">
      <c r="A416" s="141"/>
      <c r="B416" s="141"/>
      <c r="C416" s="141"/>
      <c r="D416" s="14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</row>
    <row r="417">
      <c r="A417" s="141"/>
      <c r="B417" s="141"/>
      <c r="C417" s="141"/>
      <c r="D417" s="14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</row>
    <row r="418">
      <c r="A418" s="141"/>
      <c r="B418" s="141"/>
      <c r="C418" s="141"/>
      <c r="D418" s="14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</row>
    <row r="419">
      <c r="A419" s="141"/>
      <c r="B419" s="141"/>
      <c r="C419" s="141"/>
      <c r="D419" s="14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</row>
    <row r="420">
      <c r="A420" s="141"/>
      <c r="B420" s="141"/>
      <c r="C420" s="141"/>
      <c r="D420" s="14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</row>
    <row r="421">
      <c r="A421" s="141"/>
      <c r="B421" s="141"/>
      <c r="C421" s="141"/>
      <c r="D421" s="14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</row>
    <row r="422">
      <c r="A422" s="141"/>
      <c r="B422" s="141"/>
      <c r="C422" s="141"/>
      <c r="D422" s="14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</row>
    <row r="423">
      <c r="A423" s="141"/>
      <c r="B423" s="141"/>
      <c r="C423" s="141"/>
      <c r="D423" s="14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</row>
    <row r="424">
      <c r="A424" s="141"/>
      <c r="B424" s="141"/>
      <c r="C424" s="141"/>
      <c r="D424" s="14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</row>
    <row r="425">
      <c r="A425" s="141"/>
      <c r="B425" s="141"/>
      <c r="C425" s="141"/>
      <c r="D425" s="14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</row>
    <row r="426">
      <c r="A426" s="141"/>
      <c r="B426" s="141"/>
      <c r="C426" s="141"/>
      <c r="D426" s="14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</row>
    <row r="427">
      <c r="A427" s="141"/>
      <c r="B427" s="141"/>
      <c r="C427" s="141"/>
      <c r="D427" s="14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</row>
    <row r="428">
      <c r="A428" s="141"/>
      <c r="B428" s="141"/>
      <c r="C428" s="141"/>
      <c r="D428" s="14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</row>
    <row r="429">
      <c r="A429" s="141"/>
      <c r="B429" s="141"/>
      <c r="C429" s="141"/>
      <c r="D429" s="14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</row>
    <row r="430">
      <c r="A430" s="141"/>
      <c r="B430" s="141"/>
      <c r="C430" s="141"/>
      <c r="D430" s="14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</row>
    <row r="431">
      <c r="A431" s="141"/>
      <c r="B431" s="141"/>
      <c r="C431" s="141"/>
      <c r="D431" s="14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</row>
    <row r="432">
      <c r="A432" s="141"/>
      <c r="B432" s="141"/>
      <c r="C432" s="141"/>
      <c r="D432" s="14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</row>
    <row r="433">
      <c r="A433" s="141"/>
      <c r="B433" s="141"/>
      <c r="C433" s="141"/>
      <c r="D433" s="14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</row>
    <row r="434">
      <c r="A434" s="141"/>
      <c r="B434" s="141"/>
      <c r="C434" s="141"/>
      <c r="D434" s="14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</row>
    <row r="435">
      <c r="A435" s="141"/>
      <c r="B435" s="141"/>
      <c r="C435" s="141"/>
      <c r="D435" s="14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</row>
    <row r="436">
      <c r="A436" s="141"/>
      <c r="B436" s="141"/>
      <c r="C436" s="141"/>
      <c r="D436" s="14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</row>
    <row r="437">
      <c r="A437" s="141"/>
      <c r="B437" s="141"/>
      <c r="C437" s="141"/>
      <c r="D437" s="14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</row>
    <row r="438">
      <c r="A438" s="141"/>
      <c r="B438" s="141"/>
      <c r="C438" s="141"/>
      <c r="D438" s="14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</row>
    <row r="439">
      <c r="A439" s="141"/>
      <c r="B439" s="141"/>
      <c r="C439" s="141"/>
      <c r="D439" s="14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</row>
    <row r="440">
      <c r="A440" s="141"/>
      <c r="B440" s="141"/>
      <c r="C440" s="141"/>
      <c r="D440" s="14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</row>
    <row r="441">
      <c r="A441" s="141"/>
      <c r="B441" s="141"/>
      <c r="C441" s="141"/>
      <c r="D441" s="14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</row>
    <row r="442">
      <c r="A442" s="141"/>
      <c r="B442" s="141"/>
      <c r="C442" s="141"/>
      <c r="D442" s="14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</row>
    <row r="443">
      <c r="A443" s="141"/>
      <c r="B443" s="141"/>
      <c r="C443" s="141"/>
      <c r="D443" s="14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</row>
    <row r="444">
      <c r="A444" s="141"/>
      <c r="B444" s="141"/>
      <c r="C444" s="141"/>
      <c r="D444" s="14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</row>
    <row r="445">
      <c r="A445" s="141"/>
      <c r="B445" s="141"/>
      <c r="C445" s="141"/>
      <c r="D445" s="14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</row>
    <row r="446">
      <c r="A446" s="141"/>
      <c r="B446" s="141"/>
      <c r="C446" s="141"/>
      <c r="D446" s="14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</row>
    <row r="447">
      <c r="A447" s="141"/>
      <c r="B447" s="141"/>
      <c r="C447" s="141"/>
      <c r="D447" s="14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</row>
    <row r="448">
      <c r="A448" s="141"/>
      <c r="B448" s="141"/>
      <c r="C448" s="141"/>
      <c r="D448" s="14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</row>
    <row r="449">
      <c r="A449" s="141"/>
      <c r="B449" s="141"/>
      <c r="C449" s="141"/>
      <c r="D449" s="14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</row>
    <row r="450">
      <c r="A450" s="141"/>
      <c r="B450" s="141"/>
      <c r="C450" s="141"/>
      <c r="D450" s="14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</row>
    <row r="451">
      <c r="A451" s="141"/>
      <c r="B451" s="141"/>
      <c r="C451" s="141"/>
      <c r="D451" s="14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</row>
    <row r="452">
      <c r="A452" s="141"/>
      <c r="B452" s="141"/>
      <c r="C452" s="141"/>
      <c r="D452" s="14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</row>
    <row r="453">
      <c r="A453" s="141"/>
      <c r="B453" s="141"/>
      <c r="C453" s="141"/>
      <c r="D453" s="14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</row>
    <row r="454">
      <c r="A454" s="141"/>
      <c r="B454" s="141"/>
      <c r="C454" s="141"/>
      <c r="D454" s="14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</row>
    <row r="455">
      <c r="A455" s="141"/>
      <c r="B455" s="141"/>
      <c r="C455" s="141"/>
      <c r="D455" s="14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</row>
    <row r="456">
      <c r="A456" s="141"/>
      <c r="B456" s="141"/>
      <c r="C456" s="141"/>
      <c r="D456" s="14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</row>
    <row r="457">
      <c r="A457" s="141"/>
      <c r="B457" s="141"/>
      <c r="C457" s="141"/>
      <c r="D457" s="14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</row>
    <row r="458">
      <c r="A458" s="141"/>
      <c r="B458" s="141"/>
      <c r="C458" s="141"/>
      <c r="D458" s="14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</row>
    <row r="459">
      <c r="A459" s="141"/>
      <c r="B459" s="141"/>
      <c r="C459" s="141"/>
      <c r="D459" s="14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</row>
    <row r="460">
      <c r="A460" s="141"/>
      <c r="B460" s="141"/>
      <c r="C460" s="141"/>
      <c r="D460" s="14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</row>
    <row r="461">
      <c r="A461" s="141"/>
      <c r="B461" s="141"/>
      <c r="C461" s="141"/>
      <c r="D461" s="14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</row>
    <row r="462">
      <c r="A462" s="141"/>
      <c r="B462" s="141"/>
      <c r="C462" s="141"/>
      <c r="D462" s="14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</row>
    <row r="463">
      <c r="A463" s="141"/>
      <c r="B463" s="141"/>
      <c r="C463" s="141"/>
      <c r="D463" s="14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</row>
    <row r="464">
      <c r="A464" s="141"/>
      <c r="B464" s="141"/>
      <c r="C464" s="141"/>
      <c r="D464" s="14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</row>
    <row r="465">
      <c r="A465" s="141"/>
      <c r="B465" s="141"/>
      <c r="C465" s="141"/>
      <c r="D465" s="14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</row>
    <row r="466">
      <c r="A466" s="141"/>
      <c r="B466" s="141"/>
      <c r="C466" s="141"/>
      <c r="D466" s="14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</row>
    <row r="467">
      <c r="A467" s="141"/>
      <c r="B467" s="141"/>
      <c r="C467" s="141"/>
      <c r="D467" s="14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</row>
    <row r="468">
      <c r="A468" s="141"/>
      <c r="B468" s="141"/>
      <c r="C468" s="141"/>
      <c r="D468" s="14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</row>
    <row r="469">
      <c r="A469" s="141"/>
      <c r="B469" s="141"/>
      <c r="C469" s="141"/>
      <c r="D469" s="14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</row>
    <row r="470">
      <c r="A470" s="141"/>
      <c r="B470" s="141"/>
      <c r="C470" s="141"/>
      <c r="D470" s="14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</row>
    <row r="471">
      <c r="A471" s="141"/>
      <c r="B471" s="141"/>
      <c r="C471" s="141"/>
      <c r="D471" s="14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</row>
    <row r="472">
      <c r="A472" s="141"/>
      <c r="B472" s="141"/>
      <c r="C472" s="141"/>
      <c r="D472" s="14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</row>
    <row r="473">
      <c r="A473" s="141"/>
      <c r="B473" s="141"/>
      <c r="C473" s="141"/>
      <c r="D473" s="14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</row>
    <row r="474">
      <c r="A474" s="141"/>
      <c r="B474" s="141"/>
      <c r="C474" s="141"/>
      <c r="D474" s="14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</row>
    <row r="475">
      <c r="A475" s="141"/>
      <c r="B475" s="141"/>
      <c r="C475" s="141"/>
      <c r="D475" s="14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</row>
    <row r="476">
      <c r="A476" s="141"/>
      <c r="B476" s="141"/>
      <c r="C476" s="141"/>
      <c r="D476" s="14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</row>
    <row r="477">
      <c r="A477" s="141"/>
      <c r="B477" s="141"/>
      <c r="C477" s="141"/>
      <c r="D477" s="14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</row>
    <row r="478">
      <c r="A478" s="141"/>
      <c r="B478" s="141"/>
      <c r="C478" s="141"/>
      <c r="D478" s="14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</row>
    <row r="479">
      <c r="A479" s="141"/>
      <c r="B479" s="141"/>
      <c r="C479" s="141"/>
      <c r="D479" s="14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</row>
    <row r="480">
      <c r="A480" s="141"/>
      <c r="B480" s="141"/>
      <c r="C480" s="141"/>
      <c r="D480" s="14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</row>
    <row r="481">
      <c r="A481" s="141"/>
      <c r="B481" s="141"/>
      <c r="C481" s="141"/>
      <c r="D481" s="14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</row>
    <row r="482">
      <c r="A482" s="141"/>
      <c r="B482" s="141"/>
      <c r="C482" s="141"/>
      <c r="D482" s="14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</row>
    <row r="483">
      <c r="A483" s="141"/>
      <c r="B483" s="141"/>
      <c r="C483" s="141"/>
      <c r="D483" s="14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</row>
    <row r="484">
      <c r="A484" s="141"/>
      <c r="B484" s="141"/>
      <c r="C484" s="141"/>
      <c r="D484" s="14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</row>
    <row r="485">
      <c r="A485" s="141"/>
      <c r="B485" s="141"/>
      <c r="C485" s="141"/>
      <c r="D485" s="14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</row>
    <row r="486">
      <c r="A486" s="141"/>
      <c r="B486" s="141"/>
      <c r="C486" s="141"/>
      <c r="D486" s="14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</row>
    <row r="487">
      <c r="A487" s="141"/>
      <c r="B487" s="141"/>
      <c r="C487" s="141"/>
      <c r="D487" s="14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</row>
    <row r="488">
      <c r="A488" s="141"/>
      <c r="B488" s="141"/>
      <c r="C488" s="141"/>
      <c r="D488" s="14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</row>
    <row r="489">
      <c r="A489" s="141"/>
      <c r="B489" s="141"/>
      <c r="C489" s="141"/>
      <c r="D489" s="14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</row>
    <row r="490">
      <c r="A490" s="141"/>
      <c r="B490" s="141"/>
      <c r="C490" s="141"/>
      <c r="D490" s="14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</row>
    <row r="491">
      <c r="A491" s="141"/>
      <c r="B491" s="141"/>
      <c r="C491" s="141"/>
      <c r="D491" s="14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</row>
    <row r="492">
      <c r="A492" s="141"/>
      <c r="B492" s="141"/>
      <c r="C492" s="141"/>
      <c r="D492" s="14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</row>
    <row r="493">
      <c r="A493" s="141"/>
      <c r="B493" s="141"/>
      <c r="C493" s="141"/>
      <c r="D493" s="14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</row>
    <row r="494">
      <c r="A494" s="141"/>
      <c r="B494" s="141"/>
      <c r="C494" s="141"/>
      <c r="D494" s="14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</row>
    <row r="495">
      <c r="A495" s="141"/>
      <c r="B495" s="141"/>
      <c r="C495" s="141"/>
      <c r="D495" s="14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</row>
    <row r="496">
      <c r="A496" s="141"/>
      <c r="B496" s="141"/>
      <c r="C496" s="141"/>
      <c r="D496" s="14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</row>
    <row r="497">
      <c r="A497" s="141"/>
      <c r="B497" s="141"/>
      <c r="C497" s="141"/>
      <c r="D497" s="14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</row>
    <row r="498">
      <c r="A498" s="141"/>
      <c r="B498" s="141"/>
      <c r="C498" s="141"/>
      <c r="D498" s="14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</row>
    <row r="499">
      <c r="A499" s="141"/>
      <c r="B499" s="141"/>
      <c r="C499" s="141"/>
      <c r="D499" s="14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</row>
    <row r="500">
      <c r="A500" s="141"/>
      <c r="B500" s="141"/>
      <c r="C500" s="141"/>
      <c r="D500" s="14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</row>
    <row r="501">
      <c r="A501" s="141"/>
      <c r="B501" s="141"/>
      <c r="C501" s="141"/>
      <c r="D501" s="14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</row>
    <row r="502">
      <c r="A502" s="141"/>
      <c r="B502" s="141"/>
      <c r="C502" s="141"/>
      <c r="D502" s="14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</row>
    <row r="503">
      <c r="A503" s="141"/>
      <c r="B503" s="141"/>
      <c r="C503" s="141"/>
      <c r="D503" s="14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</row>
    <row r="504">
      <c r="A504" s="141"/>
      <c r="B504" s="141"/>
      <c r="C504" s="141"/>
      <c r="D504" s="14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</row>
    <row r="505">
      <c r="A505" s="141"/>
      <c r="B505" s="141"/>
      <c r="C505" s="141"/>
      <c r="D505" s="14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</row>
    <row r="506">
      <c r="A506" s="141"/>
      <c r="B506" s="141"/>
      <c r="C506" s="141"/>
      <c r="D506" s="14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</row>
    <row r="507">
      <c r="A507" s="141"/>
      <c r="B507" s="141"/>
      <c r="C507" s="141"/>
      <c r="D507" s="14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</row>
    <row r="508">
      <c r="A508" s="141"/>
      <c r="B508" s="141"/>
      <c r="C508" s="141"/>
      <c r="D508" s="14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</row>
    <row r="509">
      <c r="A509" s="141"/>
      <c r="B509" s="141"/>
      <c r="C509" s="141"/>
      <c r="D509" s="14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</row>
    <row r="510">
      <c r="A510" s="141"/>
      <c r="B510" s="141"/>
      <c r="C510" s="141"/>
      <c r="D510" s="14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</row>
    <row r="511">
      <c r="A511" s="141"/>
      <c r="B511" s="141"/>
      <c r="C511" s="141"/>
      <c r="D511" s="14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</row>
    <row r="512">
      <c r="A512" s="141"/>
      <c r="B512" s="141"/>
      <c r="C512" s="141"/>
      <c r="D512" s="14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</row>
    <row r="513">
      <c r="A513" s="141"/>
      <c r="B513" s="141"/>
      <c r="C513" s="141"/>
      <c r="D513" s="14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</row>
    <row r="514">
      <c r="A514" s="141"/>
      <c r="B514" s="141"/>
      <c r="C514" s="141"/>
      <c r="D514" s="14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</row>
    <row r="515">
      <c r="A515" s="141"/>
      <c r="B515" s="141"/>
      <c r="C515" s="141"/>
      <c r="D515" s="14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</row>
    <row r="516">
      <c r="A516" s="141"/>
      <c r="B516" s="141"/>
      <c r="C516" s="141"/>
      <c r="D516" s="14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</row>
    <row r="517">
      <c r="A517" s="141"/>
      <c r="B517" s="141"/>
      <c r="C517" s="141"/>
      <c r="D517" s="14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</row>
    <row r="518">
      <c r="A518" s="141"/>
      <c r="B518" s="141"/>
      <c r="C518" s="141"/>
      <c r="D518" s="14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</row>
    <row r="519">
      <c r="A519" s="141"/>
      <c r="B519" s="141"/>
      <c r="C519" s="141"/>
      <c r="D519" s="14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</row>
    <row r="520">
      <c r="A520" s="141"/>
      <c r="B520" s="141"/>
      <c r="C520" s="141"/>
      <c r="D520" s="14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</row>
    <row r="521">
      <c r="A521" s="141"/>
      <c r="B521" s="141"/>
      <c r="C521" s="141"/>
      <c r="D521" s="14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</row>
    <row r="522">
      <c r="A522" s="141"/>
      <c r="B522" s="141"/>
      <c r="C522" s="141"/>
      <c r="D522" s="14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</row>
    <row r="523">
      <c r="A523" s="141"/>
      <c r="B523" s="141"/>
      <c r="C523" s="141"/>
      <c r="D523" s="14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</row>
    <row r="524">
      <c r="A524" s="141"/>
      <c r="B524" s="141"/>
      <c r="C524" s="141"/>
      <c r="D524" s="14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</row>
    <row r="525">
      <c r="A525" s="141"/>
      <c r="B525" s="141"/>
      <c r="C525" s="141"/>
      <c r="D525" s="14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</row>
    <row r="526">
      <c r="A526" s="141"/>
      <c r="B526" s="141"/>
      <c r="C526" s="141"/>
      <c r="D526" s="14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</row>
    <row r="527">
      <c r="A527" s="141"/>
      <c r="B527" s="141"/>
      <c r="C527" s="141"/>
      <c r="D527" s="14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</row>
    <row r="528">
      <c r="A528" s="141"/>
      <c r="B528" s="141"/>
      <c r="C528" s="141"/>
      <c r="D528" s="14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</row>
    <row r="529">
      <c r="A529" s="141"/>
      <c r="B529" s="141"/>
      <c r="C529" s="141"/>
      <c r="D529" s="14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</row>
    <row r="530">
      <c r="A530" s="141"/>
      <c r="B530" s="141"/>
      <c r="C530" s="141"/>
      <c r="D530" s="14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</row>
    <row r="531">
      <c r="A531" s="141"/>
      <c r="B531" s="141"/>
      <c r="C531" s="141"/>
      <c r="D531" s="14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</row>
    <row r="532">
      <c r="A532" s="141"/>
      <c r="B532" s="141"/>
      <c r="C532" s="141"/>
      <c r="D532" s="14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</row>
    <row r="533">
      <c r="A533" s="141"/>
      <c r="B533" s="141"/>
      <c r="C533" s="141"/>
      <c r="D533" s="14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</row>
    <row r="534">
      <c r="A534" s="141"/>
      <c r="B534" s="141"/>
      <c r="C534" s="141"/>
      <c r="D534" s="14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</row>
    <row r="535">
      <c r="A535" s="141"/>
      <c r="B535" s="141"/>
      <c r="C535" s="141"/>
      <c r="D535" s="14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</row>
    <row r="536">
      <c r="A536" s="141"/>
      <c r="B536" s="141"/>
      <c r="C536" s="141"/>
      <c r="D536" s="14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</row>
    <row r="537">
      <c r="A537" s="141"/>
      <c r="B537" s="141"/>
      <c r="C537" s="141"/>
      <c r="D537" s="14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</row>
    <row r="538">
      <c r="A538" s="141"/>
      <c r="B538" s="141"/>
      <c r="C538" s="141"/>
      <c r="D538" s="14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</row>
    <row r="539">
      <c r="A539" s="141"/>
      <c r="B539" s="141"/>
      <c r="C539" s="141"/>
      <c r="D539" s="14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</row>
    <row r="540">
      <c r="A540" s="141"/>
      <c r="B540" s="141"/>
      <c r="C540" s="141"/>
      <c r="D540" s="14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</row>
    <row r="541">
      <c r="A541" s="141"/>
      <c r="B541" s="141"/>
      <c r="C541" s="141"/>
      <c r="D541" s="14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</row>
    <row r="542">
      <c r="A542" s="141"/>
      <c r="B542" s="141"/>
      <c r="C542" s="141"/>
      <c r="D542" s="14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</row>
    <row r="543">
      <c r="A543" s="141"/>
      <c r="B543" s="141"/>
      <c r="C543" s="141"/>
      <c r="D543" s="14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</row>
    <row r="544">
      <c r="A544" s="141"/>
      <c r="B544" s="141"/>
      <c r="C544" s="141"/>
      <c r="D544" s="14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</row>
    <row r="545">
      <c r="A545" s="141"/>
      <c r="B545" s="141"/>
      <c r="C545" s="141"/>
      <c r="D545" s="14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</row>
    <row r="546">
      <c r="A546" s="141"/>
      <c r="B546" s="141"/>
      <c r="C546" s="141"/>
      <c r="D546" s="14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</row>
    <row r="547">
      <c r="A547" s="141"/>
      <c r="B547" s="141"/>
      <c r="C547" s="141"/>
      <c r="D547" s="14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</row>
    <row r="548">
      <c r="A548" s="141"/>
      <c r="B548" s="141"/>
      <c r="C548" s="141"/>
      <c r="D548" s="14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</row>
    <row r="549">
      <c r="A549" s="141"/>
      <c r="B549" s="141"/>
      <c r="C549" s="141"/>
      <c r="D549" s="14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</row>
    <row r="550">
      <c r="A550" s="141"/>
      <c r="B550" s="141"/>
      <c r="C550" s="141"/>
      <c r="D550" s="14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</row>
    <row r="551">
      <c r="A551" s="141"/>
      <c r="B551" s="141"/>
      <c r="C551" s="141"/>
      <c r="D551" s="14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</row>
    <row r="552">
      <c r="A552" s="141"/>
      <c r="B552" s="141"/>
      <c r="C552" s="141"/>
      <c r="D552" s="14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</row>
    <row r="553">
      <c r="A553" s="141"/>
      <c r="B553" s="141"/>
      <c r="C553" s="141"/>
      <c r="D553" s="14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</row>
    <row r="554">
      <c r="A554" s="141"/>
      <c r="B554" s="141"/>
      <c r="C554" s="141"/>
      <c r="D554" s="14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</row>
    <row r="555">
      <c r="A555" s="141"/>
      <c r="B555" s="141"/>
      <c r="C555" s="141"/>
      <c r="D555" s="14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</row>
    <row r="556">
      <c r="A556" s="141"/>
      <c r="B556" s="141"/>
      <c r="C556" s="141"/>
      <c r="D556" s="14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</row>
    <row r="557">
      <c r="A557" s="141"/>
      <c r="B557" s="141"/>
      <c r="C557" s="141"/>
      <c r="D557" s="14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</row>
    <row r="558">
      <c r="A558" s="141"/>
      <c r="B558" s="141"/>
      <c r="C558" s="141"/>
      <c r="D558" s="14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</row>
    <row r="559">
      <c r="A559" s="141"/>
      <c r="B559" s="141"/>
      <c r="C559" s="141"/>
      <c r="D559" s="14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</row>
    <row r="560">
      <c r="A560" s="141"/>
      <c r="B560" s="141"/>
      <c r="C560" s="141"/>
      <c r="D560" s="14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</row>
    <row r="561">
      <c r="A561" s="141"/>
      <c r="B561" s="141"/>
      <c r="C561" s="141"/>
      <c r="D561" s="14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</row>
    <row r="562">
      <c r="A562" s="141"/>
      <c r="B562" s="141"/>
      <c r="C562" s="141"/>
      <c r="D562" s="14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</row>
    <row r="563">
      <c r="A563" s="141"/>
      <c r="B563" s="141"/>
      <c r="C563" s="141"/>
      <c r="D563" s="14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</row>
    <row r="564">
      <c r="A564" s="141"/>
      <c r="B564" s="141"/>
      <c r="C564" s="141"/>
      <c r="D564" s="14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</row>
    <row r="565">
      <c r="A565" s="141"/>
      <c r="B565" s="141"/>
      <c r="C565" s="141"/>
      <c r="D565" s="14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</row>
    <row r="566">
      <c r="A566" s="141"/>
      <c r="B566" s="141"/>
      <c r="C566" s="141"/>
      <c r="D566" s="14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</row>
    <row r="567">
      <c r="A567" s="141"/>
      <c r="B567" s="141"/>
      <c r="C567" s="141"/>
      <c r="D567" s="14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</row>
    <row r="568">
      <c r="A568" s="141"/>
      <c r="B568" s="141"/>
      <c r="C568" s="141"/>
      <c r="D568" s="14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</row>
    <row r="569">
      <c r="A569" s="141"/>
      <c r="B569" s="141"/>
      <c r="C569" s="141"/>
      <c r="D569" s="14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</row>
    <row r="570">
      <c r="A570" s="141"/>
      <c r="B570" s="141"/>
      <c r="C570" s="141"/>
      <c r="D570" s="14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</row>
    <row r="571">
      <c r="A571" s="141"/>
      <c r="B571" s="141"/>
      <c r="C571" s="141"/>
      <c r="D571" s="14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</row>
    <row r="572">
      <c r="A572" s="141"/>
      <c r="B572" s="141"/>
      <c r="C572" s="141"/>
      <c r="D572" s="14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</row>
    <row r="573">
      <c r="A573" s="141"/>
      <c r="B573" s="141"/>
      <c r="C573" s="141"/>
      <c r="D573" s="14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</row>
    <row r="574">
      <c r="A574" s="141"/>
      <c r="B574" s="141"/>
      <c r="C574" s="141"/>
      <c r="D574" s="14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</row>
    <row r="575">
      <c r="A575" s="141"/>
      <c r="B575" s="141"/>
      <c r="C575" s="141"/>
      <c r="D575" s="14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</row>
    <row r="576">
      <c r="A576" s="141"/>
      <c r="B576" s="141"/>
      <c r="C576" s="141"/>
      <c r="D576" s="14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</row>
    <row r="577">
      <c r="A577" s="141"/>
      <c r="B577" s="141"/>
      <c r="C577" s="141"/>
      <c r="D577" s="14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</row>
    <row r="578">
      <c r="A578" s="141"/>
      <c r="B578" s="141"/>
      <c r="C578" s="141"/>
      <c r="D578" s="14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</row>
    <row r="579">
      <c r="A579" s="141"/>
      <c r="B579" s="141"/>
      <c r="C579" s="141"/>
      <c r="D579" s="14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</row>
    <row r="580">
      <c r="A580" s="141"/>
      <c r="B580" s="141"/>
      <c r="C580" s="141"/>
      <c r="D580" s="14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</row>
    <row r="581">
      <c r="A581" s="141"/>
      <c r="B581" s="141"/>
      <c r="C581" s="141"/>
      <c r="D581" s="14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</row>
    <row r="582">
      <c r="A582" s="141"/>
      <c r="B582" s="141"/>
      <c r="C582" s="141"/>
      <c r="D582" s="14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</row>
    <row r="583">
      <c r="A583" s="141"/>
      <c r="B583" s="141"/>
      <c r="C583" s="141"/>
      <c r="D583" s="14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</row>
    <row r="584">
      <c r="A584" s="141"/>
      <c r="B584" s="141"/>
      <c r="C584" s="141"/>
      <c r="D584" s="14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</row>
    <row r="585">
      <c r="A585" s="141"/>
      <c r="B585" s="141"/>
      <c r="C585" s="141"/>
      <c r="D585" s="14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</row>
    <row r="586">
      <c r="A586" s="141"/>
      <c r="B586" s="141"/>
      <c r="C586" s="141"/>
      <c r="D586" s="14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</row>
    <row r="587">
      <c r="A587" s="141"/>
      <c r="B587" s="141"/>
      <c r="C587" s="141"/>
      <c r="D587" s="14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</row>
    <row r="588">
      <c r="A588" s="141"/>
      <c r="B588" s="141"/>
      <c r="C588" s="141"/>
      <c r="D588" s="14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</row>
    <row r="589">
      <c r="A589" s="141"/>
      <c r="B589" s="141"/>
      <c r="C589" s="141"/>
      <c r="D589" s="14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</row>
    <row r="590">
      <c r="A590" s="141"/>
      <c r="B590" s="141"/>
      <c r="C590" s="141"/>
      <c r="D590" s="14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</row>
    <row r="591">
      <c r="A591" s="141"/>
      <c r="B591" s="141"/>
      <c r="C591" s="141"/>
      <c r="D591" s="14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</row>
    <row r="592">
      <c r="A592" s="141"/>
      <c r="B592" s="141"/>
      <c r="C592" s="141"/>
      <c r="D592" s="14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</row>
    <row r="593">
      <c r="A593" s="141"/>
      <c r="B593" s="141"/>
      <c r="C593" s="141"/>
      <c r="D593" s="14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</row>
    <row r="594">
      <c r="A594" s="141"/>
      <c r="B594" s="141"/>
      <c r="C594" s="141"/>
      <c r="D594" s="14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</row>
    <row r="595">
      <c r="A595" s="141"/>
      <c r="B595" s="141"/>
      <c r="C595" s="141"/>
      <c r="D595" s="14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</row>
    <row r="596">
      <c r="A596" s="141"/>
      <c r="B596" s="141"/>
      <c r="C596" s="141"/>
      <c r="D596" s="14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</row>
    <row r="597">
      <c r="A597" s="141"/>
      <c r="B597" s="141"/>
      <c r="C597" s="141"/>
      <c r="D597" s="14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</row>
    <row r="598">
      <c r="A598" s="141"/>
      <c r="B598" s="141"/>
      <c r="C598" s="141"/>
      <c r="D598" s="14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</row>
    <row r="599">
      <c r="A599" s="141"/>
      <c r="B599" s="141"/>
      <c r="C599" s="141"/>
      <c r="D599" s="14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</row>
    <row r="600">
      <c r="A600" s="141"/>
      <c r="B600" s="141"/>
      <c r="C600" s="141"/>
      <c r="D600" s="14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</row>
    <row r="601">
      <c r="A601" s="141"/>
      <c r="B601" s="141"/>
      <c r="C601" s="141"/>
      <c r="D601" s="14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</row>
    <row r="602">
      <c r="A602" s="141"/>
      <c r="B602" s="141"/>
      <c r="C602" s="141"/>
      <c r="D602" s="14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</row>
    <row r="603">
      <c r="A603" s="141"/>
      <c r="B603" s="141"/>
      <c r="C603" s="141"/>
      <c r="D603" s="14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</row>
    <row r="604">
      <c r="A604" s="141"/>
      <c r="B604" s="141"/>
      <c r="C604" s="141"/>
      <c r="D604" s="14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</row>
    <row r="605">
      <c r="A605" s="141"/>
      <c r="B605" s="141"/>
      <c r="C605" s="141"/>
      <c r="D605" s="14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</row>
    <row r="606">
      <c r="A606" s="141"/>
      <c r="B606" s="141"/>
      <c r="C606" s="141"/>
      <c r="D606" s="14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</row>
    <row r="607">
      <c r="A607" s="141"/>
      <c r="B607" s="141"/>
      <c r="C607" s="141"/>
      <c r="D607" s="14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</row>
    <row r="608">
      <c r="A608" s="141"/>
      <c r="B608" s="141"/>
      <c r="C608" s="141"/>
      <c r="D608" s="14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</row>
    <row r="609">
      <c r="A609" s="141"/>
      <c r="B609" s="141"/>
      <c r="C609" s="141"/>
      <c r="D609" s="14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</row>
    <row r="610">
      <c r="A610" s="141"/>
      <c r="B610" s="141"/>
      <c r="C610" s="141"/>
      <c r="D610" s="14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</row>
    <row r="611">
      <c r="A611" s="141"/>
      <c r="B611" s="141"/>
      <c r="C611" s="141"/>
      <c r="D611" s="14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</row>
    <row r="612">
      <c r="A612" s="141"/>
      <c r="B612" s="141"/>
      <c r="C612" s="141"/>
      <c r="D612" s="14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</row>
    <row r="613">
      <c r="A613" s="141"/>
      <c r="B613" s="141"/>
      <c r="C613" s="141"/>
      <c r="D613" s="14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</row>
    <row r="614">
      <c r="A614" s="141"/>
      <c r="B614" s="141"/>
      <c r="C614" s="141"/>
      <c r="D614" s="14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</row>
    <row r="615">
      <c r="A615" s="141"/>
      <c r="B615" s="141"/>
      <c r="C615" s="141"/>
      <c r="D615" s="14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</row>
    <row r="616">
      <c r="A616" s="141"/>
      <c r="B616" s="141"/>
      <c r="C616" s="141"/>
      <c r="D616" s="14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</row>
    <row r="617">
      <c r="A617" s="141"/>
      <c r="B617" s="141"/>
      <c r="C617" s="141"/>
      <c r="D617" s="14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</row>
    <row r="618">
      <c r="A618" s="141"/>
      <c r="B618" s="141"/>
      <c r="C618" s="141"/>
      <c r="D618" s="14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</row>
    <row r="619">
      <c r="A619" s="141"/>
      <c r="B619" s="141"/>
      <c r="C619" s="141"/>
      <c r="D619" s="14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</row>
    <row r="620">
      <c r="A620" s="141"/>
      <c r="B620" s="141"/>
      <c r="C620" s="141"/>
      <c r="D620" s="14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</row>
    <row r="621">
      <c r="A621" s="141"/>
      <c r="B621" s="141"/>
      <c r="C621" s="141"/>
      <c r="D621" s="14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</row>
    <row r="622">
      <c r="A622" s="141"/>
      <c r="B622" s="141"/>
      <c r="C622" s="141"/>
      <c r="D622" s="14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</row>
    <row r="623">
      <c r="A623" s="141"/>
      <c r="B623" s="141"/>
      <c r="C623" s="141"/>
      <c r="D623" s="14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</row>
    <row r="624">
      <c r="A624" s="141"/>
      <c r="B624" s="141"/>
      <c r="C624" s="141"/>
      <c r="D624" s="14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</row>
    <row r="625">
      <c r="A625" s="141"/>
      <c r="B625" s="141"/>
      <c r="C625" s="141"/>
      <c r="D625" s="14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</row>
    <row r="626">
      <c r="A626" s="141"/>
      <c r="B626" s="141"/>
      <c r="C626" s="141"/>
      <c r="D626" s="14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</row>
    <row r="627">
      <c r="A627" s="141"/>
      <c r="B627" s="141"/>
      <c r="C627" s="141"/>
      <c r="D627" s="14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</row>
    <row r="628">
      <c r="A628" s="141"/>
      <c r="B628" s="141"/>
      <c r="C628" s="141"/>
      <c r="D628" s="14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</row>
    <row r="629">
      <c r="A629" s="141"/>
      <c r="B629" s="141"/>
      <c r="C629" s="141"/>
      <c r="D629" s="14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</row>
    <row r="630">
      <c r="A630" s="141"/>
      <c r="B630" s="141"/>
      <c r="C630" s="141"/>
      <c r="D630" s="14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</row>
    <row r="631">
      <c r="A631" s="141"/>
      <c r="B631" s="141"/>
      <c r="C631" s="141"/>
      <c r="D631" s="14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</row>
    <row r="632">
      <c r="A632" s="141"/>
      <c r="B632" s="141"/>
      <c r="C632" s="141"/>
      <c r="D632" s="14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</row>
    <row r="633">
      <c r="A633" s="141"/>
      <c r="B633" s="141"/>
      <c r="C633" s="141"/>
      <c r="D633" s="14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</row>
    <row r="634">
      <c r="A634" s="141"/>
      <c r="B634" s="141"/>
      <c r="C634" s="141"/>
      <c r="D634" s="14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</row>
    <row r="635">
      <c r="A635" s="141"/>
      <c r="B635" s="141"/>
      <c r="C635" s="141"/>
      <c r="D635" s="14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</row>
    <row r="636">
      <c r="A636" s="141"/>
      <c r="B636" s="141"/>
      <c r="C636" s="141"/>
      <c r="D636" s="14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</row>
    <row r="637">
      <c r="A637" s="141"/>
      <c r="B637" s="141"/>
      <c r="C637" s="141"/>
      <c r="D637" s="14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</row>
    <row r="638">
      <c r="A638" s="141"/>
      <c r="B638" s="141"/>
      <c r="C638" s="141"/>
      <c r="D638" s="14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</row>
    <row r="639">
      <c r="A639" s="141"/>
      <c r="B639" s="141"/>
      <c r="C639" s="141"/>
      <c r="D639" s="14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</row>
    <row r="640">
      <c r="A640" s="141"/>
      <c r="B640" s="141"/>
      <c r="C640" s="141"/>
      <c r="D640" s="14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</row>
    <row r="641">
      <c r="A641" s="141"/>
      <c r="B641" s="141"/>
      <c r="C641" s="141"/>
      <c r="D641" s="14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</row>
    <row r="642">
      <c r="A642" s="141"/>
      <c r="B642" s="141"/>
      <c r="C642" s="141"/>
      <c r="D642" s="14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</row>
    <row r="643">
      <c r="A643" s="141"/>
      <c r="B643" s="141"/>
      <c r="C643" s="141"/>
      <c r="D643" s="14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</row>
    <row r="644">
      <c r="A644" s="141"/>
      <c r="B644" s="141"/>
      <c r="C644" s="141"/>
      <c r="D644" s="14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</row>
    <row r="645">
      <c r="A645" s="141"/>
      <c r="B645" s="141"/>
      <c r="C645" s="141"/>
      <c r="D645" s="14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</row>
    <row r="646">
      <c r="A646" s="141"/>
      <c r="B646" s="141"/>
      <c r="C646" s="141"/>
      <c r="D646" s="14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</row>
    <row r="647">
      <c r="A647" s="141"/>
      <c r="B647" s="141"/>
      <c r="C647" s="141"/>
      <c r="D647" s="14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</row>
    <row r="648">
      <c r="A648" s="141"/>
      <c r="B648" s="141"/>
      <c r="C648" s="141"/>
      <c r="D648" s="14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</row>
    <row r="649">
      <c r="A649" s="141"/>
      <c r="B649" s="141"/>
      <c r="C649" s="141"/>
      <c r="D649" s="14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</row>
    <row r="650">
      <c r="A650" s="141"/>
      <c r="B650" s="141"/>
      <c r="C650" s="141"/>
      <c r="D650" s="14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</row>
    <row r="651">
      <c r="A651" s="141"/>
      <c r="B651" s="141"/>
      <c r="C651" s="141"/>
      <c r="D651" s="14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</row>
    <row r="652">
      <c r="A652" s="141"/>
      <c r="B652" s="141"/>
      <c r="C652" s="141"/>
      <c r="D652" s="14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</row>
    <row r="653">
      <c r="A653" s="141"/>
      <c r="B653" s="141"/>
      <c r="C653" s="141"/>
      <c r="D653" s="14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</row>
    <row r="654">
      <c r="A654" s="141"/>
      <c r="B654" s="141"/>
      <c r="C654" s="141"/>
      <c r="D654" s="14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</row>
    <row r="655">
      <c r="A655" s="141"/>
      <c r="B655" s="141"/>
      <c r="C655" s="141"/>
      <c r="D655" s="14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</row>
    <row r="656">
      <c r="A656" s="141"/>
      <c r="B656" s="141"/>
      <c r="C656" s="141"/>
      <c r="D656" s="14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</row>
    <row r="657">
      <c r="A657" s="141"/>
      <c r="B657" s="141"/>
      <c r="C657" s="141"/>
      <c r="D657" s="14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</row>
    <row r="658">
      <c r="A658" s="141"/>
      <c r="B658" s="141"/>
      <c r="C658" s="141"/>
      <c r="D658" s="14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</row>
    <row r="659">
      <c r="A659" s="141"/>
      <c r="B659" s="141"/>
      <c r="C659" s="141"/>
      <c r="D659" s="14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</row>
    <row r="660">
      <c r="A660" s="141"/>
      <c r="B660" s="141"/>
      <c r="C660" s="141"/>
      <c r="D660" s="14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</row>
    <row r="661">
      <c r="A661" s="141"/>
      <c r="B661" s="141"/>
      <c r="C661" s="141"/>
      <c r="D661" s="14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</row>
    <row r="662">
      <c r="A662" s="141"/>
      <c r="B662" s="141"/>
      <c r="C662" s="141"/>
      <c r="D662" s="14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</row>
    <row r="663">
      <c r="A663" s="141"/>
      <c r="B663" s="141"/>
      <c r="C663" s="141"/>
      <c r="D663" s="14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</row>
    <row r="664">
      <c r="A664" s="141"/>
      <c r="B664" s="141"/>
      <c r="C664" s="141"/>
      <c r="D664" s="14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</row>
    <row r="665">
      <c r="A665" s="141"/>
      <c r="B665" s="141"/>
      <c r="C665" s="141"/>
      <c r="D665" s="14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</row>
    <row r="666">
      <c r="A666" s="141"/>
      <c r="B666" s="141"/>
      <c r="C666" s="141"/>
      <c r="D666" s="14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</row>
    <row r="667">
      <c r="A667" s="141"/>
      <c r="B667" s="141"/>
      <c r="C667" s="141"/>
      <c r="D667" s="14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</row>
    <row r="668">
      <c r="A668" s="141"/>
      <c r="B668" s="141"/>
      <c r="C668" s="141"/>
      <c r="D668" s="14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</row>
    <row r="669">
      <c r="A669" s="141"/>
      <c r="B669" s="141"/>
      <c r="C669" s="141"/>
      <c r="D669" s="14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</row>
    <row r="670">
      <c r="A670" s="141"/>
      <c r="B670" s="141"/>
      <c r="C670" s="141"/>
      <c r="D670" s="14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</row>
    <row r="671">
      <c r="A671" s="141"/>
      <c r="B671" s="141"/>
      <c r="C671" s="141"/>
      <c r="D671" s="14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</row>
    <row r="672">
      <c r="A672" s="141"/>
      <c r="B672" s="141"/>
      <c r="C672" s="141"/>
      <c r="D672" s="14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</row>
    <row r="673">
      <c r="A673" s="141"/>
      <c r="B673" s="141"/>
      <c r="C673" s="141"/>
      <c r="D673" s="14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</row>
    <row r="674">
      <c r="A674" s="141"/>
      <c r="B674" s="141"/>
      <c r="C674" s="141"/>
      <c r="D674" s="14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</row>
    <row r="675">
      <c r="A675" s="141"/>
      <c r="B675" s="141"/>
      <c r="C675" s="141"/>
      <c r="D675" s="14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</row>
    <row r="676">
      <c r="A676" s="141"/>
      <c r="B676" s="141"/>
      <c r="C676" s="141"/>
      <c r="D676" s="14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</row>
    <row r="677">
      <c r="A677" s="141"/>
      <c r="B677" s="141"/>
      <c r="C677" s="141"/>
      <c r="D677" s="14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</row>
    <row r="678">
      <c r="A678" s="141"/>
      <c r="B678" s="141"/>
      <c r="C678" s="141"/>
      <c r="D678" s="14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</row>
    <row r="679">
      <c r="A679" s="141"/>
      <c r="B679" s="141"/>
      <c r="C679" s="141"/>
      <c r="D679" s="14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</row>
    <row r="680">
      <c r="A680" s="141"/>
      <c r="B680" s="141"/>
      <c r="C680" s="141"/>
      <c r="D680" s="14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</row>
    <row r="681">
      <c r="A681" s="141"/>
      <c r="B681" s="141"/>
      <c r="C681" s="141"/>
      <c r="D681" s="14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</row>
    <row r="682">
      <c r="A682" s="141"/>
      <c r="B682" s="141"/>
      <c r="C682" s="141"/>
      <c r="D682" s="14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</row>
    <row r="683">
      <c r="A683" s="141"/>
      <c r="B683" s="141"/>
      <c r="C683" s="141"/>
      <c r="D683" s="14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</row>
    <row r="684">
      <c r="A684" s="141"/>
      <c r="B684" s="141"/>
      <c r="C684" s="141"/>
      <c r="D684" s="14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</row>
    <row r="685">
      <c r="A685" s="141"/>
      <c r="B685" s="141"/>
      <c r="C685" s="141"/>
      <c r="D685" s="14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</row>
    <row r="686">
      <c r="A686" s="141"/>
      <c r="B686" s="141"/>
      <c r="C686" s="141"/>
      <c r="D686" s="14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</row>
    <row r="687">
      <c r="A687" s="141"/>
      <c r="B687" s="141"/>
      <c r="C687" s="141"/>
      <c r="D687" s="14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</row>
    <row r="688">
      <c r="A688" s="141"/>
      <c r="B688" s="141"/>
      <c r="C688" s="141"/>
      <c r="D688" s="14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</row>
    <row r="689">
      <c r="A689" s="141"/>
      <c r="B689" s="141"/>
      <c r="C689" s="141"/>
      <c r="D689" s="14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</row>
    <row r="690">
      <c r="A690" s="141"/>
      <c r="B690" s="141"/>
      <c r="C690" s="141"/>
      <c r="D690" s="14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</row>
    <row r="691">
      <c r="A691" s="141"/>
      <c r="B691" s="141"/>
      <c r="C691" s="141"/>
      <c r="D691" s="14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</row>
    <row r="692">
      <c r="A692" s="141"/>
      <c r="B692" s="141"/>
      <c r="C692" s="141"/>
      <c r="D692" s="14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</row>
    <row r="693">
      <c r="A693" s="141"/>
      <c r="B693" s="141"/>
      <c r="C693" s="141"/>
      <c r="D693" s="14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</row>
    <row r="694">
      <c r="A694" s="141"/>
      <c r="B694" s="141"/>
      <c r="C694" s="141"/>
      <c r="D694" s="14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</row>
    <row r="695">
      <c r="A695" s="141"/>
      <c r="B695" s="141"/>
      <c r="C695" s="141"/>
      <c r="D695" s="14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</row>
    <row r="696">
      <c r="A696" s="141"/>
      <c r="B696" s="141"/>
      <c r="C696" s="141"/>
      <c r="D696" s="14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</row>
    <row r="697">
      <c r="A697" s="141"/>
      <c r="B697" s="141"/>
      <c r="C697" s="141"/>
      <c r="D697" s="14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</row>
    <row r="698">
      <c r="A698" s="141"/>
      <c r="B698" s="141"/>
      <c r="C698" s="141"/>
      <c r="D698" s="14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</row>
    <row r="699">
      <c r="A699" s="141"/>
      <c r="B699" s="141"/>
      <c r="C699" s="141"/>
      <c r="D699" s="14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</row>
    <row r="700">
      <c r="A700" s="141"/>
      <c r="B700" s="141"/>
      <c r="C700" s="141"/>
      <c r="D700" s="14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</row>
    <row r="701">
      <c r="A701" s="141"/>
      <c r="B701" s="141"/>
      <c r="C701" s="141"/>
      <c r="D701" s="14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</row>
    <row r="702">
      <c r="A702" s="141"/>
      <c r="B702" s="141"/>
      <c r="C702" s="141"/>
      <c r="D702" s="14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</row>
    <row r="703">
      <c r="A703" s="141"/>
      <c r="B703" s="141"/>
      <c r="C703" s="141"/>
      <c r="D703" s="14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</row>
    <row r="704">
      <c r="A704" s="141"/>
      <c r="B704" s="141"/>
      <c r="C704" s="141"/>
      <c r="D704" s="14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</row>
    <row r="705">
      <c r="A705" s="141"/>
      <c r="B705" s="141"/>
      <c r="C705" s="141"/>
      <c r="D705" s="14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</row>
    <row r="706">
      <c r="A706" s="141"/>
      <c r="B706" s="141"/>
      <c r="C706" s="141"/>
      <c r="D706" s="14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</row>
    <row r="707">
      <c r="A707" s="141"/>
      <c r="B707" s="141"/>
      <c r="C707" s="141"/>
      <c r="D707" s="14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</row>
    <row r="708">
      <c r="A708" s="141"/>
      <c r="B708" s="141"/>
      <c r="C708" s="141"/>
      <c r="D708" s="14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</row>
    <row r="709">
      <c r="A709" s="141"/>
      <c r="B709" s="141"/>
      <c r="C709" s="141"/>
      <c r="D709" s="14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</row>
    <row r="710">
      <c r="A710" s="141"/>
      <c r="B710" s="141"/>
      <c r="C710" s="141"/>
      <c r="D710" s="14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</row>
    <row r="711">
      <c r="A711" s="141"/>
      <c r="B711" s="141"/>
      <c r="C711" s="141"/>
      <c r="D711" s="14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</row>
    <row r="712">
      <c r="A712" s="141"/>
      <c r="B712" s="141"/>
      <c r="C712" s="141"/>
      <c r="D712" s="14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</row>
    <row r="713">
      <c r="A713" s="141"/>
      <c r="B713" s="141"/>
      <c r="C713" s="141"/>
      <c r="D713" s="14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</row>
    <row r="714">
      <c r="A714" s="141"/>
      <c r="B714" s="141"/>
      <c r="C714" s="141"/>
      <c r="D714" s="14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</row>
    <row r="715">
      <c r="A715" s="141"/>
      <c r="B715" s="141"/>
      <c r="C715" s="141"/>
      <c r="D715" s="14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</row>
    <row r="716">
      <c r="A716" s="141"/>
      <c r="B716" s="141"/>
      <c r="C716" s="141"/>
      <c r="D716" s="14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</row>
    <row r="717">
      <c r="A717" s="141"/>
      <c r="B717" s="141"/>
      <c r="C717" s="141"/>
      <c r="D717" s="14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</row>
    <row r="718">
      <c r="A718" s="141"/>
      <c r="B718" s="141"/>
      <c r="C718" s="141"/>
      <c r="D718" s="14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</row>
    <row r="719">
      <c r="A719" s="141"/>
      <c r="B719" s="141"/>
      <c r="C719" s="141"/>
      <c r="D719" s="14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</row>
    <row r="720">
      <c r="A720" s="141"/>
      <c r="B720" s="141"/>
      <c r="C720" s="141"/>
      <c r="D720" s="14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</row>
    <row r="721">
      <c r="A721" s="141"/>
      <c r="B721" s="141"/>
      <c r="C721" s="141"/>
      <c r="D721" s="14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</row>
    <row r="722">
      <c r="A722" s="141"/>
      <c r="B722" s="141"/>
      <c r="C722" s="141"/>
      <c r="D722" s="14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</row>
    <row r="723">
      <c r="A723" s="141"/>
      <c r="B723" s="141"/>
      <c r="C723" s="141"/>
      <c r="D723" s="14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</row>
    <row r="724">
      <c r="A724" s="141"/>
      <c r="B724" s="141"/>
      <c r="C724" s="141"/>
      <c r="D724" s="14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</row>
    <row r="725">
      <c r="A725" s="141"/>
      <c r="B725" s="141"/>
      <c r="C725" s="141"/>
      <c r="D725" s="14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</row>
    <row r="726">
      <c r="A726" s="141"/>
      <c r="B726" s="141"/>
      <c r="C726" s="141"/>
      <c r="D726" s="14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</row>
    <row r="727">
      <c r="A727" s="141"/>
      <c r="B727" s="141"/>
      <c r="C727" s="141"/>
      <c r="D727" s="14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</row>
    <row r="728">
      <c r="A728" s="141"/>
      <c r="B728" s="141"/>
      <c r="C728" s="141"/>
      <c r="D728" s="14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</row>
    <row r="729">
      <c r="A729" s="141"/>
      <c r="B729" s="141"/>
      <c r="C729" s="141"/>
      <c r="D729" s="14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</row>
    <row r="730">
      <c r="A730" s="141"/>
      <c r="B730" s="141"/>
      <c r="C730" s="141"/>
      <c r="D730" s="14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</row>
    <row r="731">
      <c r="A731" s="141"/>
      <c r="B731" s="141"/>
      <c r="C731" s="141"/>
      <c r="D731" s="14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</row>
    <row r="732">
      <c r="A732" s="141"/>
      <c r="B732" s="141"/>
      <c r="C732" s="141"/>
      <c r="D732" s="14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</row>
    <row r="733">
      <c r="A733" s="141"/>
      <c r="B733" s="141"/>
      <c r="C733" s="141"/>
      <c r="D733" s="14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</row>
    <row r="734">
      <c r="A734" s="141"/>
      <c r="B734" s="141"/>
      <c r="C734" s="141"/>
      <c r="D734" s="14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</row>
    <row r="735">
      <c r="A735" s="141"/>
      <c r="B735" s="141"/>
      <c r="C735" s="141"/>
      <c r="D735" s="14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</row>
    <row r="736">
      <c r="A736" s="141"/>
      <c r="B736" s="141"/>
      <c r="C736" s="141"/>
      <c r="D736" s="14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</row>
    <row r="737">
      <c r="A737" s="141"/>
      <c r="B737" s="141"/>
      <c r="C737" s="141"/>
      <c r="D737" s="14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</row>
    <row r="738">
      <c r="A738" s="141"/>
      <c r="B738" s="141"/>
      <c r="C738" s="141"/>
      <c r="D738" s="14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</row>
    <row r="739">
      <c r="A739" s="141"/>
      <c r="B739" s="141"/>
      <c r="C739" s="141"/>
      <c r="D739" s="14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</row>
    <row r="740">
      <c r="A740" s="141"/>
      <c r="B740" s="141"/>
      <c r="C740" s="141"/>
      <c r="D740" s="14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</row>
    <row r="741">
      <c r="A741" s="141"/>
      <c r="B741" s="141"/>
      <c r="C741" s="141"/>
      <c r="D741" s="14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</row>
    <row r="742">
      <c r="A742" s="141"/>
      <c r="B742" s="141"/>
      <c r="C742" s="141"/>
      <c r="D742" s="14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</row>
    <row r="743">
      <c r="A743" s="141"/>
      <c r="B743" s="141"/>
      <c r="C743" s="141"/>
      <c r="D743" s="14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</row>
    <row r="744">
      <c r="A744" s="141"/>
      <c r="B744" s="141"/>
      <c r="C744" s="141"/>
      <c r="D744" s="14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</row>
    <row r="745">
      <c r="A745" s="141"/>
      <c r="B745" s="141"/>
      <c r="C745" s="141"/>
      <c r="D745" s="14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</row>
    <row r="746">
      <c r="A746" s="141"/>
      <c r="B746" s="141"/>
      <c r="C746" s="141"/>
      <c r="D746" s="14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</row>
    <row r="747">
      <c r="A747" s="141"/>
      <c r="B747" s="141"/>
      <c r="C747" s="141"/>
      <c r="D747" s="14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</row>
    <row r="748">
      <c r="A748" s="141"/>
      <c r="B748" s="141"/>
      <c r="C748" s="141"/>
      <c r="D748" s="14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</row>
    <row r="749">
      <c r="A749" s="141"/>
      <c r="B749" s="141"/>
      <c r="C749" s="141"/>
      <c r="D749" s="14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</row>
    <row r="750">
      <c r="A750" s="141"/>
      <c r="B750" s="141"/>
      <c r="C750" s="141"/>
      <c r="D750" s="14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</row>
    <row r="751">
      <c r="A751" s="141"/>
      <c r="B751" s="141"/>
      <c r="C751" s="141"/>
      <c r="D751" s="14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</row>
    <row r="752">
      <c r="A752" s="141"/>
      <c r="B752" s="141"/>
      <c r="C752" s="141"/>
      <c r="D752" s="14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</row>
    <row r="753">
      <c r="A753" s="141"/>
      <c r="B753" s="141"/>
      <c r="C753" s="141"/>
      <c r="D753" s="14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</row>
    <row r="754">
      <c r="A754" s="141"/>
      <c r="B754" s="141"/>
      <c r="C754" s="141"/>
      <c r="D754" s="14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</row>
    <row r="755">
      <c r="A755" s="141"/>
      <c r="B755" s="141"/>
      <c r="C755" s="141"/>
      <c r="D755" s="14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</row>
    <row r="756">
      <c r="A756" s="141"/>
      <c r="B756" s="141"/>
      <c r="C756" s="141"/>
      <c r="D756" s="14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</row>
    <row r="757">
      <c r="A757" s="141"/>
      <c r="B757" s="141"/>
      <c r="C757" s="141"/>
      <c r="D757" s="14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</row>
    <row r="758">
      <c r="A758" s="141"/>
      <c r="B758" s="141"/>
      <c r="C758" s="141"/>
      <c r="D758" s="14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</row>
    <row r="759">
      <c r="A759" s="141"/>
      <c r="B759" s="141"/>
      <c r="C759" s="141"/>
      <c r="D759" s="14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</row>
    <row r="760">
      <c r="A760" s="141"/>
      <c r="B760" s="141"/>
      <c r="C760" s="141"/>
      <c r="D760" s="14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</row>
    <row r="761">
      <c r="A761" s="141"/>
      <c r="B761" s="141"/>
      <c r="C761" s="141"/>
      <c r="D761" s="14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</row>
    <row r="762">
      <c r="A762" s="141"/>
      <c r="B762" s="141"/>
      <c r="C762" s="141"/>
      <c r="D762" s="14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</row>
    <row r="763">
      <c r="A763" s="141"/>
      <c r="B763" s="141"/>
      <c r="C763" s="141"/>
      <c r="D763" s="14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</row>
    <row r="764">
      <c r="A764" s="141"/>
      <c r="B764" s="141"/>
      <c r="C764" s="141"/>
      <c r="D764" s="14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</row>
    <row r="765">
      <c r="A765" s="141"/>
      <c r="B765" s="141"/>
      <c r="C765" s="141"/>
      <c r="D765" s="14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</row>
    <row r="766">
      <c r="A766" s="141"/>
      <c r="B766" s="141"/>
      <c r="C766" s="141"/>
      <c r="D766" s="14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</row>
    <row r="767">
      <c r="A767" s="141"/>
      <c r="B767" s="141"/>
      <c r="C767" s="141"/>
      <c r="D767" s="14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</row>
    <row r="768">
      <c r="A768" s="141"/>
      <c r="B768" s="141"/>
      <c r="C768" s="141"/>
      <c r="D768" s="14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</row>
    <row r="769">
      <c r="A769" s="141"/>
      <c r="B769" s="141"/>
      <c r="C769" s="141"/>
      <c r="D769" s="14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</row>
    <row r="770">
      <c r="A770" s="141"/>
      <c r="B770" s="141"/>
      <c r="C770" s="141"/>
      <c r="D770" s="14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</row>
    <row r="771">
      <c r="A771" s="141"/>
      <c r="B771" s="141"/>
      <c r="C771" s="141"/>
      <c r="D771" s="14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</row>
    <row r="772">
      <c r="A772" s="141"/>
      <c r="B772" s="141"/>
      <c r="C772" s="141"/>
      <c r="D772" s="14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</row>
    <row r="773">
      <c r="A773" s="141"/>
      <c r="B773" s="141"/>
      <c r="C773" s="141"/>
      <c r="D773" s="14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</row>
    <row r="774">
      <c r="A774" s="141"/>
      <c r="B774" s="141"/>
      <c r="C774" s="141"/>
      <c r="D774" s="14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</row>
    <row r="775">
      <c r="A775" s="141"/>
      <c r="B775" s="141"/>
      <c r="C775" s="141"/>
      <c r="D775" s="14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</row>
    <row r="776">
      <c r="A776" s="141"/>
      <c r="B776" s="141"/>
      <c r="C776" s="141"/>
      <c r="D776" s="14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</row>
    <row r="777">
      <c r="A777" s="141"/>
      <c r="B777" s="141"/>
      <c r="C777" s="141"/>
      <c r="D777" s="14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</row>
    <row r="778">
      <c r="A778" s="141"/>
      <c r="B778" s="141"/>
      <c r="C778" s="141"/>
      <c r="D778" s="14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</row>
    <row r="779">
      <c r="A779" s="141"/>
      <c r="B779" s="141"/>
      <c r="C779" s="141"/>
      <c r="D779" s="14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</row>
    <row r="780">
      <c r="A780" s="141"/>
      <c r="B780" s="141"/>
      <c r="C780" s="141"/>
      <c r="D780" s="14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</row>
    <row r="781">
      <c r="A781" s="141"/>
      <c r="B781" s="141"/>
      <c r="C781" s="141"/>
      <c r="D781" s="14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</row>
    <row r="782">
      <c r="A782" s="141"/>
      <c r="B782" s="141"/>
      <c r="C782" s="141"/>
      <c r="D782" s="14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</row>
    <row r="783">
      <c r="A783" s="141"/>
      <c r="B783" s="141"/>
      <c r="C783" s="141"/>
      <c r="D783" s="14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</row>
    <row r="784">
      <c r="A784" s="141"/>
      <c r="B784" s="141"/>
      <c r="C784" s="141"/>
      <c r="D784" s="14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</row>
    <row r="785">
      <c r="A785" s="141"/>
      <c r="B785" s="141"/>
      <c r="C785" s="141"/>
      <c r="D785" s="14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</row>
    <row r="786">
      <c r="A786" s="141"/>
      <c r="B786" s="141"/>
      <c r="C786" s="141"/>
      <c r="D786" s="14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</row>
    <row r="787">
      <c r="A787" s="141"/>
      <c r="B787" s="141"/>
      <c r="C787" s="141"/>
      <c r="D787" s="14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</row>
    <row r="788">
      <c r="A788" s="141"/>
      <c r="B788" s="141"/>
      <c r="C788" s="141"/>
      <c r="D788" s="14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</row>
    <row r="789">
      <c r="A789" s="141"/>
      <c r="B789" s="141"/>
      <c r="C789" s="141"/>
      <c r="D789" s="14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</row>
    <row r="790">
      <c r="A790" s="141"/>
      <c r="B790" s="141"/>
      <c r="C790" s="141"/>
      <c r="D790" s="14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</row>
    <row r="791">
      <c r="A791" s="141"/>
      <c r="B791" s="141"/>
      <c r="C791" s="141"/>
      <c r="D791" s="14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</row>
    <row r="792">
      <c r="A792" s="141"/>
      <c r="B792" s="141"/>
      <c r="C792" s="141"/>
      <c r="D792" s="14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</row>
    <row r="793">
      <c r="A793" s="141"/>
      <c r="B793" s="141"/>
      <c r="C793" s="141"/>
      <c r="D793" s="14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</row>
    <row r="794">
      <c r="A794" s="141"/>
      <c r="B794" s="141"/>
      <c r="C794" s="141"/>
      <c r="D794" s="14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</row>
    <row r="795">
      <c r="A795" s="141"/>
      <c r="B795" s="141"/>
      <c r="C795" s="141"/>
      <c r="D795" s="14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</row>
    <row r="796">
      <c r="A796" s="141"/>
      <c r="B796" s="141"/>
      <c r="C796" s="141"/>
      <c r="D796" s="14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</row>
    <row r="797">
      <c r="A797" s="141"/>
      <c r="B797" s="141"/>
      <c r="C797" s="141"/>
      <c r="D797" s="14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</row>
    <row r="798">
      <c r="A798" s="141"/>
      <c r="B798" s="141"/>
      <c r="C798" s="141"/>
      <c r="D798" s="14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</row>
    <row r="799">
      <c r="A799" s="141"/>
      <c r="B799" s="141"/>
      <c r="C799" s="141"/>
      <c r="D799" s="14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</row>
    <row r="800">
      <c r="A800" s="141"/>
      <c r="B800" s="141"/>
      <c r="C800" s="141"/>
      <c r="D800" s="14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</row>
    <row r="801">
      <c r="A801" s="141"/>
      <c r="B801" s="141"/>
      <c r="C801" s="141"/>
      <c r="D801" s="14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</row>
    <row r="802">
      <c r="A802" s="141"/>
      <c r="B802" s="141"/>
      <c r="C802" s="141"/>
      <c r="D802" s="14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</row>
    <row r="803">
      <c r="A803" s="141"/>
      <c r="B803" s="141"/>
      <c r="C803" s="141"/>
      <c r="D803" s="14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</row>
    <row r="804">
      <c r="A804" s="141"/>
      <c r="B804" s="141"/>
      <c r="C804" s="141"/>
      <c r="D804" s="14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</row>
    <row r="805">
      <c r="A805" s="141"/>
      <c r="B805" s="141"/>
      <c r="C805" s="141"/>
      <c r="D805" s="14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</row>
    <row r="806">
      <c r="A806" s="141"/>
      <c r="B806" s="141"/>
      <c r="C806" s="141"/>
      <c r="D806" s="14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</row>
    <row r="807">
      <c r="A807" s="141"/>
      <c r="B807" s="141"/>
      <c r="C807" s="141"/>
      <c r="D807" s="14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</row>
    <row r="808">
      <c r="A808" s="141"/>
      <c r="B808" s="141"/>
      <c r="C808" s="141"/>
      <c r="D808" s="14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</row>
    <row r="809">
      <c r="A809" s="141"/>
      <c r="B809" s="141"/>
      <c r="C809" s="141"/>
      <c r="D809" s="14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</row>
    <row r="810">
      <c r="A810" s="141"/>
      <c r="B810" s="141"/>
      <c r="C810" s="141"/>
      <c r="D810" s="14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</row>
    <row r="811">
      <c r="A811" s="141"/>
      <c r="B811" s="141"/>
      <c r="C811" s="141"/>
      <c r="D811" s="14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</row>
    <row r="812">
      <c r="A812" s="141"/>
      <c r="B812" s="141"/>
      <c r="C812" s="141"/>
      <c r="D812" s="14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</row>
    <row r="813">
      <c r="A813" s="141"/>
      <c r="B813" s="141"/>
      <c r="C813" s="141"/>
      <c r="D813" s="14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</row>
    <row r="814">
      <c r="A814" s="141"/>
      <c r="B814" s="141"/>
      <c r="C814" s="141"/>
      <c r="D814" s="14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</row>
    <row r="815">
      <c r="A815" s="141"/>
      <c r="B815" s="141"/>
      <c r="C815" s="141"/>
      <c r="D815" s="14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</row>
    <row r="816">
      <c r="A816" s="141"/>
      <c r="B816" s="141"/>
      <c r="C816" s="141"/>
      <c r="D816" s="14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</row>
    <row r="817">
      <c r="A817" s="141"/>
      <c r="B817" s="141"/>
      <c r="C817" s="141"/>
      <c r="D817" s="14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</row>
    <row r="818">
      <c r="A818" s="141"/>
      <c r="B818" s="141"/>
      <c r="C818" s="141"/>
      <c r="D818" s="14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</row>
    <row r="819">
      <c r="A819" s="141"/>
      <c r="B819" s="141"/>
      <c r="C819" s="141"/>
      <c r="D819" s="14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</row>
    <row r="820">
      <c r="A820" s="141"/>
      <c r="B820" s="141"/>
      <c r="C820" s="141"/>
      <c r="D820" s="14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</row>
    <row r="821">
      <c r="A821" s="141"/>
      <c r="B821" s="141"/>
      <c r="C821" s="141"/>
      <c r="D821" s="14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</row>
    <row r="822">
      <c r="A822" s="141"/>
      <c r="B822" s="141"/>
      <c r="C822" s="141"/>
      <c r="D822" s="14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</row>
    <row r="823">
      <c r="A823" s="141"/>
      <c r="B823" s="141"/>
      <c r="C823" s="141"/>
      <c r="D823" s="14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</row>
    <row r="824">
      <c r="A824" s="141"/>
      <c r="B824" s="141"/>
      <c r="C824" s="141"/>
      <c r="D824" s="14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</row>
    <row r="825">
      <c r="A825" s="141"/>
      <c r="B825" s="141"/>
      <c r="C825" s="141"/>
      <c r="D825" s="14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</row>
    <row r="826">
      <c r="A826" s="141"/>
      <c r="B826" s="141"/>
      <c r="C826" s="141"/>
      <c r="D826" s="14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</row>
    <row r="827">
      <c r="A827" s="141"/>
      <c r="B827" s="141"/>
      <c r="C827" s="141"/>
      <c r="D827" s="14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</row>
    <row r="828">
      <c r="A828" s="141"/>
      <c r="B828" s="141"/>
      <c r="C828" s="141"/>
      <c r="D828" s="14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</row>
    <row r="829">
      <c r="A829" s="141"/>
      <c r="B829" s="141"/>
      <c r="C829" s="141"/>
      <c r="D829" s="14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</row>
    <row r="830">
      <c r="A830" s="141"/>
      <c r="B830" s="141"/>
      <c r="C830" s="141"/>
      <c r="D830" s="14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</row>
    <row r="831">
      <c r="A831" s="141"/>
      <c r="B831" s="141"/>
      <c r="C831" s="141"/>
      <c r="D831" s="14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</row>
    <row r="832">
      <c r="A832" s="141"/>
      <c r="B832" s="141"/>
      <c r="C832" s="141"/>
      <c r="D832" s="14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</row>
    <row r="833">
      <c r="A833" s="141"/>
      <c r="B833" s="141"/>
      <c r="C833" s="141"/>
      <c r="D833" s="14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</row>
    <row r="834">
      <c r="A834" s="141"/>
      <c r="B834" s="141"/>
      <c r="C834" s="141"/>
      <c r="D834" s="14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</row>
    <row r="835">
      <c r="A835" s="141"/>
      <c r="B835" s="141"/>
      <c r="C835" s="141"/>
      <c r="D835" s="14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</row>
    <row r="836">
      <c r="A836" s="141"/>
      <c r="B836" s="141"/>
      <c r="C836" s="141"/>
      <c r="D836" s="14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</row>
    <row r="837">
      <c r="A837" s="141"/>
      <c r="B837" s="141"/>
      <c r="C837" s="141"/>
      <c r="D837" s="14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</row>
    <row r="838">
      <c r="A838" s="141"/>
      <c r="B838" s="141"/>
      <c r="C838" s="141"/>
      <c r="D838" s="14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</row>
    <row r="839">
      <c r="A839" s="141"/>
      <c r="B839" s="141"/>
      <c r="C839" s="141"/>
      <c r="D839" s="14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</row>
    <row r="840">
      <c r="A840" s="141"/>
      <c r="B840" s="141"/>
      <c r="C840" s="141"/>
      <c r="D840" s="14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</row>
    <row r="841">
      <c r="A841" s="141"/>
      <c r="B841" s="141"/>
      <c r="C841" s="141"/>
      <c r="D841" s="14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</row>
    <row r="842">
      <c r="A842" s="141"/>
      <c r="B842" s="141"/>
      <c r="C842" s="141"/>
      <c r="D842" s="14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</row>
    <row r="843">
      <c r="A843" s="141"/>
      <c r="B843" s="141"/>
      <c r="C843" s="141"/>
      <c r="D843" s="14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</row>
    <row r="844">
      <c r="A844" s="141"/>
      <c r="B844" s="141"/>
      <c r="C844" s="141"/>
      <c r="D844" s="14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</row>
    <row r="845">
      <c r="A845" s="141"/>
      <c r="B845" s="141"/>
      <c r="C845" s="141"/>
      <c r="D845" s="14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</row>
    <row r="846">
      <c r="A846" s="141"/>
      <c r="B846" s="141"/>
      <c r="C846" s="141"/>
      <c r="D846" s="14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</row>
    <row r="847">
      <c r="A847" s="141"/>
      <c r="B847" s="141"/>
      <c r="C847" s="141"/>
      <c r="D847" s="14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</row>
    <row r="848">
      <c r="A848" s="141"/>
      <c r="B848" s="141"/>
      <c r="C848" s="141"/>
      <c r="D848" s="14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</row>
    <row r="849">
      <c r="A849" s="141"/>
      <c r="B849" s="141"/>
      <c r="C849" s="141"/>
      <c r="D849" s="14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</row>
    <row r="850">
      <c r="A850" s="141"/>
      <c r="B850" s="141"/>
      <c r="C850" s="141"/>
      <c r="D850" s="14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</row>
    <row r="851">
      <c r="A851" s="141"/>
      <c r="B851" s="141"/>
      <c r="C851" s="141"/>
      <c r="D851" s="14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</row>
    <row r="852">
      <c r="A852" s="141"/>
      <c r="B852" s="141"/>
      <c r="C852" s="141"/>
      <c r="D852" s="14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</row>
    <row r="853">
      <c r="A853" s="141"/>
      <c r="B853" s="141"/>
      <c r="C853" s="141"/>
      <c r="D853" s="14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</row>
    <row r="854">
      <c r="A854" s="141"/>
      <c r="B854" s="141"/>
      <c r="C854" s="141"/>
      <c r="D854" s="14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</row>
    <row r="855">
      <c r="A855" s="141"/>
      <c r="B855" s="141"/>
      <c r="C855" s="141"/>
      <c r="D855" s="14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</row>
    <row r="856">
      <c r="A856" s="141"/>
      <c r="B856" s="141"/>
      <c r="C856" s="141"/>
      <c r="D856" s="14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</row>
    <row r="857">
      <c r="A857" s="141"/>
      <c r="B857" s="141"/>
      <c r="C857" s="141"/>
      <c r="D857" s="14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</row>
    <row r="858">
      <c r="A858" s="141"/>
      <c r="B858" s="141"/>
      <c r="C858" s="141"/>
      <c r="D858" s="14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</row>
    <row r="859">
      <c r="A859" s="141"/>
      <c r="B859" s="141"/>
      <c r="C859" s="141"/>
      <c r="D859" s="14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</row>
    <row r="860">
      <c r="A860" s="141"/>
      <c r="B860" s="141"/>
      <c r="C860" s="141"/>
      <c r="D860" s="14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</row>
    <row r="861">
      <c r="A861" s="141"/>
      <c r="B861" s="141"/>
      <c r="C861" s="141"/>
      <c r="D861" s="14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</row>
    <row r="862">
      <c r="A862" s="141"/>
      <c r="B862" s="141"/>
      <c r="C862" s="141"/>
      <c r="D862" s="14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</row>
    <row r="863">
      <c r="A863" s="141"/>
      <c r="B863" s="141"/>
      <c r="C863" s="141"/>
      <c r="D863" s="14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</row>
    <row r="864">
      <c r="A864" s="141"/>
      <c r="B864" s="141"/>
      <c r="C864" s="141"/>
      <c r="D864" s="14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</row>
    <row r="865">
      <c r="A865" s="141"/>
      <c r="B865" s="141"/>
      <c r="C865" s="141"/>
      <c r="D865" s="14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</row>
    <row r="866">
      <c r="A866" s="141"/>
      <c r="B866" s="141"/>
      <c r="C866" s="141"/>
      <c r="D866" s="14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</row>
    <row r="867">
      <c r="A867" s="141"/>
      <c r="B867" s="141"/>
      <c r="C867" s="141"/>
      <c r="D867" s="14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</row>
    <row r="868">
      <c r="A868" s="141"/>
      <c r="B868" s="141"/>
      <c r="C868" s="141"/>
      <c r="D868" s="14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</row>
    <row r="869">
      <c r="A869" s="141"/>
      <c r="B869" s="141"/>
      <c r="C869" s="141"/>
      <c r="D869" s="14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</row>
    <row r="870">
      <c r="A870" s="141"/>
      <c r="B870" s="141"/>
      <c r="C870" s="141"/>
      <c r="D870" s="14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</row>
    <row r="871">
      <c r="A871" s="141"/>
      <c r="B871" s="141"/>
      <c r="C871" s="141"/>
      <c r="D871" s="14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</row>
    <row r="872">
      <c r="A872" s="141"/>
      <c r="B872" s="141"/>
      <c r="C872" s="141"/>
      <c r="D872" s="14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</row>
    <row r="873">
      <c r="A873" s="141"/>
      <c r="B873" s="141"/>
      <c r="C873" s="141"/>
      <c r="D873" s="14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</row>
    <row r="874">
      <c r="A874" s="141"/>
      <c r="B874" s="141"/>
      <c r="C874" s="141"/>
      <c r="D874" s="14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</row>
    <row r="875">
      <c r="A875" s="141"/>
      <c r="B875" s="141"/>
      <c r="C875" s="141"/>
      <c r="D875" s="14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</row>
    <row r="876">
      <c r="A876" s="141"/>
      <c r="B876" s="141"/>
      <c r="C876" s="141"/>
      <c r="D876" s="14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</row>
    <row r="877">
      <c r="A877" s="141"/>
      <c r="B877" s="141"/>
      <c r="C877" s="141"/>
      <c r="D877" s="14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</row>
    <row r="878">
      <c r="A878" s="141"/>
      <c r="B878" s="141"/>
      <c r="C878" s="141"/>
      <c r="D878" s="14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</row>
    <row r="879">
      <c r="A879" s="141"/>
      <c r="B879" s="141"/>
      <c r="C879" s="141"/>
      <c r="D879" s="14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</row>
    <row r="880">
      <c r="A880" s="141"/>
      <c r="B880" s="141"/>
      <c r="C880" s="141"/>
      <c r="D880" s="14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</row>
    <row r="881">
      <c r="A881" s="141"/>
      <c r="B881" s="141"/>
      <c r="C881" s="141"/>
      <c r="D881" s="14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</row>
    <row r="882">
      <c r="A882" s="141"/>
      <c r="B882" s="141"/>
      <c r="C882" s="141"/>
      <c r="D882" s="14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</row>
    <row r="883">
      <c r="A883" s="141"/>
      <c r="B883" s="141"/>
      <c r="C883" s="141"/>
      <c r="D883" s="14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</row>
    <row r="884">
      <c r="A884" s="141"/>
      <c r="B884" s="141"/>
      <c r="C884" s="141"/>
      <c r="D884" s="14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</row>
    <row r="885">
      <c r="A885" s="141"/>
      <c r="B885" s="141"/>
      <c r="C885" s="141"/>
      <c r="D885" s="14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</row>
    <row r="886">
      <c r="A886" s="141"/>
      <c r="B886" s="141"/>
      <c r="C886" s="141"/>
      <c r="D886" s="14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</row>
    <row r="887">
      <c r="A887" s="141"/>
      <c r="B887" s="141"/>
      <c r="C887" s="141"/>
      <c r="D887" s="14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</row>
    <row r="888">
      <c r="A888" s="141"/>
      <c r="B888" s="141"/>
      <c r="C888" s="141"/>
      <c r="D888" s="14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</row>
    <row r="889">
      <c r="A889" s="141"/>
      <c r="B889" s="141"/>
      <c r="C889" s="141"/>
      <c r="D889" s="14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</row>
    <row r="890">
      <c r="A890" s="141"/>
      <c r="B890" s="141"/>
      <c r="C890" s="141"/>
      <c r="D890" s="14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</row>
    <row r="891">
      <c r="A891" s="141"/>
      <c r="B891" s="141"/>
      <c r="C891" s="141"/>
      <c r="D891" s="14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</row>
    <row r="892">
      <c r="A892" s="141"/>
      <c r="B892" s="141"/>
      <c r="C892" s="141"/>
      <c r="D892" s="14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</row>
    <row r="893">
      <c r="A893" s="141"/>
      <c r="B893" s="141"/>
      <c r="C893" s="141"/>
      <c r="D893" s="14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</row>
    <row r="894">
      <c r="A894" s="141"/>
      <c r="B894" s="141"/>
      <c r="C894" s="141"/>
      <c r="D894" s="14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</row>
    <row r="895">
      <c r="A895" s="141"/>
      <c r="B895" s="141"/>
      <c r="C895" s="141"/>
      <c r="D895" s="14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</row>
    <row r="896">
      <c r="A896" s="141"/>
      <c r="B896" s="141"/>
      <c r="C896" s="141"/>
      <c r="D896" s="14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</row>
    <row r="897">
      <c r="A897" s="141"/>
      <c r="B897" s="141"/>
      <c r="C897" s="141"/>
      <c r="D897" s="14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</row>
    <row r="898">
      <c r="A898" s="141"/>
      <c r="B898" s="141"/>
      <c r="C898" s="141"/>
      <c r="D898" s="14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</row>
    <row r="899">
      <c r="A899" s="141"/>
      <c r="B899" s="141"/>
      <c r="C899" s="141"/>
      <c r="D899" s="14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</row>
    <row r="900">
      <c r="A900" s="141"/>
      <c r="B900" s="141"/>
      <c r="C900" s="141"/>
      <c r="D900" s="14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</row>
    <row r="901">
      <c r="A901" s="141"/>
      <c r="B901" s="141"/>
      <c r="C901" s="141"/>
      <c r="D901" s="14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</row>
    <row r="902">
      <c r="A902" s="141"/>
      <c r="B902" s="141"/>
      <c r="C902" s="141"/>
      <c r="D902" s="14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</row>
    <row r="903">
      <c r="A903" s="141"/>
      <c r="B903" s="141"/>
      <c r="C903" s="141"/>
      <c r="D903" s="14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</row>
    <row r="904">
      <c r="A904" s="141"/>
      <c r="B904" s="141"/>
      <c r="C904" s="141"/>
      <c r="D904" s="14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</row>
    <row r="905">
      <c r="A905" s="141"/>
      <c r="B905" s="141"/>
      <c r="C905" s="141"/>
      <c r="D905" s="14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</row>
    <row r="906">
      <c r="A906" s="141"/>
      <c r="B906" s="141"/>
      <c r="C906" s="141"/>
      <c r="D906" s="14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</row>
    <row r="907">
      <c r="A907" s="141"/>
      <c r="B907" s="141"/>
      <c r="C907" s="141"/>
      <c r="D907" s="14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</row>
    <row r="908">
      <c r="A908" s="141"/>
      <c r="B908" s="141"/>
      <c r="C908" s="141"/>
      <c r="D908" s="14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</row>
    <row r="909">
      <c r="A909" s="141"/>
      <c r="B909" s="141"/>
      <c r="C909" s="141"/>
      <c r="D909" s="14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</row>
    <row r="910">
      <c r="A910" s="141"/>
      <c r="B910" s="141"/>
      <c r="C910" s="141"/>
      <c r="D910" s="14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</row>
    <row r="911">
      <c r="A911" s="141"/>
      <c r="B911" s="141"/>
      <c r="C911" s="141"/>
      <c r="D911" s="14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</row>
    <row r="912">
      <c r="A912" s="141"/>
      <c r="B912" s="141"/>
      <c r="C912" s="141"/>
      <c r="D912" s="14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</row>
    <row r="913">
      <c r="A913" s="141"/>
      <c r="B913" s="141"/>
      <c r="C913" s="141"/>
      <c r="D913" s="14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</row>
    <row r="914">
      <c r="A914" s="141"/>
      <c r="B914" s="141"/>
      <c r="C914" s="141"/>
      <c r="D914" s="14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</row>
    <row r="915">
      <c r="A915" s="141"/>
      <c r="B915" s="141"/>
      <c r="C915" s="141"/>
      <c r="D915" s="14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</row>
    <row r="916">
      <c r="A916" s="141"/>
      <c r="B916" s="141"/>
      <c r="C916" s="141"/>
      <c r="D916" s="14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</row>
    <row r="917">
      <c r="A917" s="141"/>
      <c r="B917" s="141"/>
      <c r="C917" s="141"/>
      <c r="D917" s="14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</row>
    <row r="918">
      <c r="A918" s="141"/>
      <c r="B918" s="141"/>
      <c r="C918" s="141"/>
      <c r="D918" s="14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</row>
    <row r="919">
      <c r="A919" s="141"/>
      <c r="B919" s="141"/>
      <c r="C919" s="141"/>
      <c r="D919" s="14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</row>
    <row r="920">
      <c r="A920" s="141"/>
      <c r="B920" s="141"/>
      <c r="C920" s="141"/>
      <c r="D920" s="14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</row>
    <row r="921">
      <c r="A921" s="141"/>
      <c r="B921" s="141"/>
      <c r="C921" s="141"/>
      <c r="D921" s="14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</row>
    <row r="922">
      <c r="A922" s="141"/>
      <c r="B922" s="141"/>
      <c r="C922" s="141"/>
      <c r="D922" s="14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</row>
    <row r="923">
      <c r="A923" s="141"/>
      <c r="B923" s="141"/>
      <c r="C923" s="141"/>
      <c r="D923" s="14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</row>
    <row r="924">
      <c r="A924" s="141"/>
      <c r="B924" s="141"/>
      <c r="C924" s="141"/>
      <c r="D924" s="14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</row>
    <row r="925">
      <c r="A925" s="141"/>
      <c r="B925" s="141"/>
      <c r="C925" s="141"/>
      <c r="D925" s="14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</row>
    <row r="926">
      <c r="A926" s="141"/>
      <c r="B926" s="141"/>
      <c r="C926" s="141"/>
      <c r="D926" s="14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</row>
    <row r="927">
      <c r="A927" s="141"/>
      <c r="B927" s="141"/>
      <c r="C927" s="141"/>
      <c r="D927" s="14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</row>
    <row r="928">
      <c r="A928" s="141"/>
      <c r="B928" s="141"/>
      <c r="C928" s="141"/>
      <c r="D928" s="14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</row>
    <row r="929">
      <c r="A929" s="141"/>
      <c r="B929" s="141"/>
      <c r="C929" s="141"/>
      <c r="D929" s="14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</row>
    <row r="930">
      <c r="A930" s="141"/>
      <c r="B930" s="141"/>
      <c r="C930" s="141"/>
      <c r="D930" s="14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</row>
    <row r="931">
      <c r="A931" s="141"/>
      <c r="B931" s="141"/>
      <c r="C931" s="141"/>
      <c r="D931" s="14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</row>
    <row r="932">
      <c r="A932" s="141"/>
      <c r="B932" s="141"/>
      <c r="C932" s="141"/>
      <c r="D932" s="14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</row>
    <row r="933">
      <c r="A933" s="141"/>
      <c r="B933" s="141"/>
      <c r="C933" s="141"/>
      <c r="D933" s="14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</row>
    <row r="934">
      <c r="A934" s="141"/>
      <c r="B934" s="141"/>
      <c r="C934" s="141"/>
      <c r="D934" s="14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</row>
    <row r="935">
      <c r="A935" s="141"/>
      <c r="B935" s="141"/>
      <c r="C935" s="141"/>
      <c r="D935" s="14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</row>
    <row r="936">
      <c r="A936" s="141"/>
      <c r="B936" s="141"/>
      <c r="C936" s="141"/>
      <c r="D936" s="14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</row>
    <row r="937">
      <c r="A937" s="141"/>
      <c r="B937" s="141"/>
      <c r="C937" s="141"/>
      <c r="D937" s="14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</row>
    <row r="938">
      <c r="A938" s="141"/>
      <c r="B938" s="141"/>
      <c r="C938" s="141"/>
      <c r="D938" s="14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</row>
    <row r="939">
      <c r="A939" s="141"/>
      <c r="B939" s="141"/>
      <c r="C939" s="141"/>
      <c r="D939" s="14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</row>
    <row r="940">
      <c r="A940" s="141"/>
      <c r="B940" s="141"/>
      <c r="C940" s="141"/>
      <c r="D940" s="14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</row>
    <row r="941">
      <c r="A941" s="141"/>
      <c r="B941" s="141"/>
      <c r="C941" s="141"/>
      <c r="D941" s="14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</row>
    <row r="942">
      <c r="A942" s="141"/>
      <c r="B942" s="141"/>
      <c r="C942" s="141"/>
      <c r="D942" s="14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</row>
    <row r="943">
      <c r="A943" s="141"/>
      <c r="B943" s="141"/>
      <c r="C943" s="141"/>
      <c r="D943" s="14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</row>
    <row r="944">
      <c r="A944" s="141"/>
      <c r="B944" s="141"/>
      <c r="C944" s="141"/>
      <c r="D944" s="14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</row>
    <row r="945">
      <c r="A945" s="141"/>
      <c r="B945" s="141"/>
      <c r="C945" s="141"/>
      <c r="D945" s="14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</row>
    <row r="946">
      <c r="A946" s="141"/>
      <c r="B946" s="141"/>
      <c r="C946" s="141"/>
      <c r="D946" s="14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</row>
    <row r="947">
      <c r="A947" s="141"/>
      <c r="B947" s="141"/>
      <c r="C947" s="141"/>
      <c r="D947" s="14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</row>
    <row r="948">
      <c r="A948" s="141"/>
      <c r="B948" s="141"/>
      <c r="C948" s="141"/>
      <c r="D948" s="14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</row>
    <row r="949">
      <c r="A949" s="141"/>
      <c r="B949" s="141"/>
      <c r="C949" s="141"/>
      <c r="D949" s="14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</row>
    <row r="950">
      <c r="A950" s="141"/>
      <c r="B950" s="141"/>
      <c r="C950" s="141"/>
      <c r="D950" s="14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</row>
    <row r="951">
      <c r="A951" s="141"/>
      <c r="B951" s="141"/>
      <c r="C951" s="141"/>
      <c r="D951" s="14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</row>
    <row r="952">
      <c r="A952" s="141"/>
      <c r="B952" s="141"/>
      <c r="C952" s="141"/>
      <c r="D952" s="14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</row>
    <row r="953">
      <c r="A953" s="141"/>
      <c r="B953" s="141"/>
      <c r="C953" s="141"/>
      <c r="D953" s="14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</row>
    <row r="954">
      <c r="A954" s="141"/>
      <c r="B954" s="141"/>
      <c r="C954" s="141"/>
      <c r="D954" s="14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</row>
    <row r="955">
      <c r="A955" s="141"/>
      <c r="B955" s="141"/>
      <c r="C955" s="141"/>
      <c r="D955" s="14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</row>
    <row r="956">
      <c r="A956" s="141"/>
      <c r="B956" s="141"/>
      <c r="C956" s="141"/>
      <c r="D956" s="14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</row>
    <row r="957">
      <c r="A957" s="141"/>
      <c r="B957" s="141"/>
      <c r="C957" s="141"/>
      <c r="D957" s="14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</row>
    <row r="958">
      <c r="A958" s="141"/>
      <c r="B958" s="141"/>
      <c r="C958" s="141"/>
      <c r="D958" s="14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</row>
    <row r="959">
      <c r="A959" s="141"/>
      <c r="B959" s="141"/>
      <c r="C959" s="141"/>
      <c r="D959" s="14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</row>
    <row r="960">
      <c r="A960" s="141"/>
      <c r="B960" s="141"/>
      <c r="C960" s="141"/>
      <c r="D960" s="14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</row>
    <row r="961">
      <c r="A961" s="141"/>
      <c r="B961" s="141"/>
      <c r="C961" s="141"/>
      <c r="D961" s="14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</row>
    <row r="962">
      <c r="A962" s="141"/>
      <c r="B962" s="141"/>
      <c r="C962" s="141"/>
      <c r="D962" s="14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</row>
    <row r="963">
      <c r="A963" s="141"/>
      <c r="B963" s="141"/>
      <c r="C963" s="141"/>
      <c r="D963" s="14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</row>
    <row r="964">
      <c r="A964" s="141"/>
      <c r="B964" s="141"/>
      <c r="C964" s="141"/>
      <c r="D964" s="14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</row>
    <row r="965">
      <c r="A965" s="141"/>
      <c r="B965" s="141"/>
      <c r="C965" s="141"/>
      <c r="D965" s="14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</row>
    <row r="966">
      <c r="A966" s="141"/>
      <c r="B966" s="141"/>
      <c r="C966" s="141"/>
      <c r="D966" s="14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</row>
    <row r="967">
      <c r="A967" s="141"/>
      <c r="B967" s="141"/>
      <c r="C967" s="141"/>
      <c r="D967" s="14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</row>
    <row r="968">
      <c r="A968" s="141"/>
      <c r="B968" s="141"/>
      <c r="C968" s="141"/>
      <c r="D968" s="14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</row>
    <row r="969">
      <c r="A969" s="141"/>
      <c r="B969" s="141"/>
      <c r="C969" s="141"/>
      <c r="D969" s="14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</row>
    <row r="970">
      <c r="A970" s="141"/>
      <c r="B970" s="141"/>
      <c r="C970" s="141"/>
      <c r="D970" s="14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</row>
    <row r="971">
      <c r="A971" s="141"/>
      <c r="B971" s="141"/>
      <c r="C971" s="141"/>
      <c r="D971" s="14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</row>
    <row r="972">
      <c r="A972" s="141"/>
      <c r="B972" s="141"/>
      <c r="C972" s="141"/>
      <c r="D972" s="14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</row>
    <row r="973">
      <c r="A973" s="141"/>
      <c r="B973" s="141"/>
      <c r="C973" s="141"/>
      <c r="D973" s="14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</row>
    <row r="974">
      <c r="A974" s="141"/>
      <c r="B974" s="141"/>
      <c r="C974" s="141"/>
      <c r="D974" s="14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</row>
    <row r="975">
      <c r="A975" s="141"/>
      <c r="B975" s="141"/>
      <c r="C975" s="141"/>
      <c r="D975" s="14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</row>
    <row r="976">
      <c r="A976" s="141"/>
      <c r="B976" s="141"/>
      <c r="C976" s="141"/>
      <c r="D976" s="14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</row>
    <row r="977">
      <c r="A977" s="141"/>
      <c r="B977" s="141"/>
      <c r="C977" s="141"/>
      <c r="D977" s="14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</row>
    <row r="978">
      <c r="A978" s="141"/>
      <c r="B978" s="141"/>
      <c r="C978" s="141"/>
      <c r="D978" s="14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</row>
    <row r="979">
      <c r="A979" s="141"/>
      <c r="B979" s="141"/>
      <c r="C979" s="141"/>
      <c r="D979" s="14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</row>
    <row r="980">
      <c r="A980" s="141"/>
      <c r="B980" s="141"/>
      <c r="C980" s="141"/>
      <c r="D980" s="14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</row>
    <row r="981">
      <c r="A981" s="141"/>
      <c r="B981" s="141"/>
      <c r="C981" s="141"/>
      <c r="D981" s="14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</row>
    <row r="982">
      <c r="A982" s="141"/>
      <c r="B982" s="141"/>
      <c r="C982" s="141"/>
      <c r="D982" s="14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</row>
    <row r="983">
      <c r="A983" s="141"/>
      <c r="B983" s="141"/>
      <c r="C983" s="141"/>
      <c r="D983" s="14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</row>
    <row r="984">
      <c r="A984" s="141"/>
      <c r="B984" s="141"/>
      <c r="C984" s="141"/>
      <c r="D984" s="14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</row>
    <row r="985">
      <c r="A985" s="141"/>
      <c r="B985" s="141"/>
      <c r="C985" s="141"/>
      <c r="D985" s="14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</row>
    <row r="986">
      <c r="A986" s="141"/>
      <c r="B986" s="141"/>
      <c r="C986" s="141"/>
      <c r="D986" s="14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</row>
    <row r="987">
      <c r="A987" s="141"/>
      <c r="B987" s="141"/>
      <c r="C987" s="141"/>
      <c r="D987" s="14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</row>
    <row r="988">
      <c r="A988" s="141"/>
      <c r="B988" s="141"/>
      <c r="C988" s="141"/>
      <c r="D988" s="14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</row>
    <row r="989">
      <c r="A989" s="141"/>
      <c r="B989" s="141"/>
      <c r="C989" s="141"/>
      <c r="D989" s="14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</row>
    <row r="990">
      <c r="A990" s="141"/>
      <c r="B990" s="141"/>
      <c r="C990" s="141"/>
      <c r="D990" s="14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</row>
    <row r="991">
      <c r="A991" s="141"/>
      <c r="B991" s="141"/>
      <c r="C991" s="141"/>
      <c r="D991" s="14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</row>
    <row r="992">
      <c r="A992" s="141"/>
      <c r="B992" s="141"/>
      <c r="C992" s="141"/>
      <c r="D992" s="14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</row>
    <row r="993">
      <c r="A993" s="141"/>
      <c r="B993" s="141"/>
      <c r="C993" s="141"/>
      <c r="D993" s="14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</row>
    <row r="994">
      <c r="A994" s="141"/>
      <c r="B994" s="141"/>
      <c r="C994" s="141"/>
      <c r="D994" s="14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</row>
    <row r="995">
      <c r="A995" s="141"/>
      <c r="B995" s="141"/>
      <c r="C995" s="141"/>
      <c r="D995" s="14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</row>
    <row r="996">
      <c r="A996" s="141"/>
      <c r="B996" s="141"/>
      <c r="C996" s="141"/>
      <c r="D996" s="14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</row>
    <row r="997">
      <c r="A997" s="141"/>
      <c r="B997" s="141"/>
      <c r="C997" s="141"/>
      <c r="D997" s="14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</row>
    <row r="998">
      <c r="A998" s="141"/>
      <c r="B998" s="141"/>
      <c r="C998" s="141"/>
      <c r="D998" s="141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</row>
    <row r="999">
      <c r="A999" s="141"/>
      <c r="B999" s="141"/>
      <c r="C999" s="141"/>
      <c r="D999" s="141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</row>
    <row r="1000">
      <c r="A1000" s="141"/>
      <c r="B1000" s="141"/>
      <c r="C1000" s="141"/>
      <c r="D1000" s="141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</row>
    <row r="1001">
      <c r="A1001" s="141"/>
      <c r="B1001" s="141"/>
      <c r="C1001" s="141"/>
      <c r="D1001" s="141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</row>
    <row r="1002">
      <c r="A1002" s="141"/>
      <c r="B1002" s="141"/>
      <c r="C1002" s="141"/>
      <c r="D1002" s="141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</row>
    <row r="1003">
      <c r="A1003" s="141"/>
      <c r="B1003" s="141"/>
      <c r="C1003" s="141"/>
      <c r="D1003" s="141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</row>
    <row r="1004">
      <c r="A1004" s="141"/>
      <c r="B1004" s="141"/>
      <c r="C1004" s="141"/>
      <c r="D1004" s="141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</row>
    <row r="1005">
      <c r="A1005" s="141"/>
      <c r="B1005" s="141"/>
      <c r="C1005" s="141"/>
      <c r="D1005" s="141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</row>
    <row r="1006">
      <c r="A1006" s="141"/>
      <c r="B1006" s="141"/>
      <c r="C1006" s="141"/>
      <c r="D1006" s="141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</row>
    <row r="1007">
      <c r="A1007" s="141"/>
      <c r="B1007" s="141"/>
      <c r="C1007" s="141"/>
      <c r="D1007" s="141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</row>
    <row r="1008">
      <c r="A1008" s="141"/>
      <c r="B1008" s="141"/>
      <c r="C1008" s="141"/>
      <c r="D1008" s="141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</row>
    <row r="1009">
      <c r="A1009" s="141"/>
      <c r="B1009" s="141"/>
      <c r="C1009" s="141"/>
      <c r="D1009" s="141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</row>
    <row r="1010">
      <c r="A1010" s="141"/>
      <c r="B1010" s="141"/>
      <c r="C1010" s="141"/>
      <c r="D1010" s="141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</row>
    <row r="1011">
      <c r="A1011" s="141"/>
      <c r="B1011" s="141"/>
      <c r="C1011" s="141"/>
      <c r="D1011" s="141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</row>
    <row r="1012">
      <c r="A1012" s="141"/>
      <c r="B1012" s="141"/>
      <c r="C1012" s="141"/>
      <c r="D1012" s="141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</row>
    <row r="1013">
      <c r="A1013" s="141"/>
      <c r="B1013" s="141"/>
      <c r="C1013" s="141"/>
      <c r="D1013" s="141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</row>
    <row r="1014">
      <c r="A1014" s="141"/>
      <c r="B1014" s="141"/>
      <c r="C1014" s="141"/>
      <c r="D1014" s="141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</row>
    <row r="1015">
      <c r="A1015" s="141"/>
      <c r="B1015" s="141"/>
      <c r="C1015" s="141"/>
      <c r="D1015" s="141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</row>
  </sheetData>
  <mergeCells count="267">
    <mergeCell ref="E1:G1"/>
    <mergeCell ref="B2:C2"/>
    <mergeCell ref="F2:G2"/>
    <mergeCell ref="U2:AN2"/>
    <mergeCell ref="B3:C3"/>
    <mergeCell ref="B4:C4"/>
    <mergeCell ref="E4:G4"/>
    <mergeCell ref="N4:P4"/>
    <mergeCell ref="AG13:AP14"/>
    <mergeCell ref="AD14:AE14"/>
    <mergeCell ref="T15:AE15"/>
    <mergeCell ref="AG15:AR15"/>
    <mergeCell ref="X28:AD28"/>
    <mergeCell ref="AK28:AQ28"/>
    <mergeCell ref="AX28:BD28"/>
    <mergeCell ref="T30:AE30"/>
    <mergeCell ref="AG30:AR30"/>
    <mergeCell ref="C49:D49"/>
    <mergeCell ref="C55:D55"/>
    <mergeCell ref="C56:D56"/>
    <mergeCell ref="C57:D57"/>
    <mergeCell ref="C58:D58"/>
    <mergeCell ref="C59:D59"/>
    <mergeCell ref="C60:D60"/>
    <mergeCell ref="C61:D61"/>
    <mergeCell ref="H4:J4"/>
    <mergeCell ref="K4:M4"/>
    <mergeCell ref="B5:C5"/>
    <mergeCell ref="E5:G5"/>
    <mergeCell ref="H5:J5"/>
    <mergeCell ref="K5:M5"/>
    <mergeCell ref="N5:P5"/>
    <mergeCell ref="A14:D15"/>
    <mergeCell ref="A16:B16"/>
    <mergeCell ref="C16:D16"/>
    <mergeCell ref="A17:B17"/>
    <mergeCell ref="C17:D17"/>
    <mergeCell ref="A18:B18"/>
    <mergeCell ref="C18:D18"/>
    <mergeCell ref="A29:B29"/>
    <mergeCell ref="C29:D29"/>
    <mergeCell ref="A30:B30"/>
    <mergeCell ref="C30:D30"/>
    <mergeCell ref="A31:B31"/>
    <mergeCell ref="C31:D31"/>
    <mergeCell ref="C32:D32"/>
    <mergeCell ref="A32:B32"/>
    <mergeCell ref="A33:B33"/>
    <mergeCell ref="A34:B34"/>
    <mergeCell ref="A35:B35"/>
    <mergeCell ref="A36:B36"/>
    <mergeCell ref="A37:B37"/>
    <mergeCell ref="A38:B38"/>
    <mergeCell ref="C33:D33"/>
    <mergeCell ref="C34:D34"/>
    <mergeCell ref="C35:D35"/>
    <mergeCell ref="C36:D36"/>
    <mergeCell ref="C37:D37"/>
    <mergeCell ref="C38:D38"/>
    <mergeCell ref="C39:D39"/>
    <mergeCell ref="A39:B39"/>
    <mergeCell ref="A40:B40"/>
    <mergeCell ref="A41:B41"/>
    <mergeCell ref="A42:B42"/>
    <mergeCell ref="A43:B43"/>
    <mergeCell ref="A44:B44"/>
    <mergeCell ref="A45:B45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50:D50"/>
    <mergeCell ref="C51:D51"/>
    <mergeCell ref="C52:D52"/>
    <mergeCell ref="C53:D53"/>
    <mergeCell ref="C54:D54"/>
    <mergeCell ref="C91:D91"/>
    <mergeCell ref="C92:D92"/>
    <mergeCell ref="C84:D84"/>
    <mergeCell ref="C85:D85"/>
    <mergeCell ref="C86:D86"/>
    <mergeCell ref="C87:D87"/>
    <mergeCell ref="C88:D88"/>
    <mergeCell ref="C89:D89"/>
    <mergeCell ref="C90:D90"/>
    <mergeCell ref="C62:D62"/>
    <mergeCell ref="C63:D63"/>
    <mergeCell ref="C64:D64"/>
    <mergeCell ref="C65:D65"/>
    <mergeCell ref="C66:D66"/>
    <mergeCell ref="C67:D67"/>
    <mergeCell ref="C68:D68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A74:B74"/>
    <mergeCell ref="C74:D74"/>
    <mergeCell ref="A75:B75"/>
    <mergeCell ref="C75:D75"/>
    <mergeCell ref="C76:D76"/>
    <mergeCell ref="A76:B76"/>
    <mergeCell ref="A77:B77"/>
    <mergeCell ref="A78:B78"/>
    <mergeCell ref="A79:B79"/>
    <mergeCell ref="A80:B80"/>
    <mergeCell ref="A81:B81"/>
    <mergeCell ref="A82:B82"/>
    <mergeCell ref="C77:D77"/>
    <mergeCell ref="C78:D78"/>
    <mergeCell ref="C79:D79"/>
    <mergeCell ref="C80:D80"/>
    <mergeCell ref="C81:D81"/>
    <mergeCell ref="C82:D82"/>
    <mergeCell ref="C83:D83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C93:D93"/>
    <mergeCell ref="A94:B94"/>
    <mergeCell ref="C94:D94"/>
    <mergeCell ref="B7:C7"/>
    <mergeCell ref="B8:C8"/>
    <mergeCell ref="BJ8:BL8"/>
    <mergeCell ref="B6:C6"/>
    <mergeCell ref="U6:AN6"/>
    <mergeCell ref="AQ13:AR13"/>
    <mergeCell ref="AT13:BC14"/>
    <mergeCell ref="BD13:BE13"/>
    <mergeCell ref="O14:P14"/>
    <mergeCell ref="AT15:BE15"/>
    <mergeCell ref="A22:B22"/>
    <mergeCell ref="A23:B23"/>
    <mergeCell ref="A19:B19"/>
    <mergeCell ref="C19:D19"/>
    <mergeCell ref="A20:B20"/>
    <mergeCell ref="C20:D20"/>
    <mergeCell ref="A21:B21"/>
    <mergeCell ref="C21:D21"/>
    <mergeCell ref="C22:D22"/>
    <mergeCell ref="C23:D23"/>
    <mergeCell ref="A27:B27"/>
    <mergeCell ref="A28:B28"/>
    <mergeCell ref="A24:B24"/>
    <mergeCell ref="C24:D24"/>
    <mergeCell ref="A25:B25"/>
    <mergeCell ref="C25:D25"/>
    <mergeCell ref="A26:B26"/>
    <mergeCell ref="C26:D26"/>
    <mergeCell ref="C27:D27"/>
    <mergeCell ref="C28:D28"/>
    <mergeCell ref="A46:B46"/>
    <mergeCell ref="A47:B47"/>
    <mergeCell ref="A48:B48"/>
    <mergeCell ref="A50:B50"/>
    <mergeCell ref="A51:B51"/>
    <mergeCell ref="A52:B52"/>
    <mergeCell ref="A53:B53"/>
    <mergeCell ref="A61:B61"/>
    <mergeCell ref="A62:B62"/>
    <mergeCell ref="A63:B63"/>
    <mergeCell ref="A64:B64"/>
    <mergeCell ref="A65:B65"/>
    <mergeCell ref="A66:B66"/>
    <mergeCell ref="A67:B67"/>
    <mergeCell ref="A68:B68"/>
    <mergeCell ref="A54:B54"/>
    <mergeCell ref="A55:B55"/>
    <mergeCell ref="A56:B56"/>
    <mergeCell ref="A57:B57"/>
    <mergeCell ref="A58:B58"/>
    <mergeCell ref="A59:B59"/>
    <mergeCell ref="A60:B60"/>
    <mergeCell ref="I46:O46"/>
    <mergeCell ref="I61:O61"/>
    <mergeCell ref="E63:P63"/>
    <mergeCell ref="I76:O76"/>
    <mergeCell ref="E110:J110"/>
    <mergeCell ref="E111:J111"/>
    <mergeCell ref="E13:N14"/>
    <mergeCell ref="O13:P13"/>
    <mergeCell ref="Q13:S1015"/>
    <mergeCell ref="E15:P15"/>
    <mergeCell ref="I28:O28"/>
    <mergeCell ref="E30:P30"/>
    <mergeCell ref="E48:P48"/>
    <mergeCell ref="A95:B95"/>
    <mergeCell ref="C95:D95"/>
    <mergeCell ref="A96:B96"/>
    <mergeCell ref="C96:D96"/>
    <mergeCell ref="A97:B97"/>
    <mergeCell ref="C97:D97"/>
    <mergeCell ref="C98:D98"/>
    <mergeCell ref="A105:B105"/>
    <mergeCell ref="A106:B106"/>
    <mergeCell ref="A107:B107"/>
    <mergeCell ref="A108:B108"/>
    <mergeCell ref="A109:B109"/>
    <mergeCell ref="A110:B110"/>
    <mergeCell ref="A111:B111"/>
    <mergeCell ref="A98:B98"/>
    <mergeCell ref="A99:B99"/>
    <mergeCell ref="A100:B100"/>
    <mergeCell ref="A101:B101"/>
    <mergeCell ref="A102:B102"/>
    <mergeCell ref="A103:B103"/>
    <mergeCell ref="A104:B104"/>
    <mergeCell ref="C106:D106"/>
    <mergeCell ref="C107:D107"/>
    <mergeCell ref="C108:D108"/>
    <mergeCell ref="C109:D109"/>
    <mergeCell ref="C110:D110"/>
    <mergeCell ref="C111:D111"/>
    <mergeCell ref="C99:D99"/>
    <mergeCell ref="C100:D100"/>
    <mergeCell ref="C101:D101"/>
    <mergeCell ref="C102:D102"/>
    <mergeCell ref="C103:D103"/>
    <mergeCell ref="C104:D104"/>
    <mergeCell ref="C105:D105"/>
    <mergeCell ref="AT63:BE63"/>
    <mergeCell ref="X76:AD76"/>
    <mergeCell ref="AK76:AQ76"/>
    <mergeCell ref="AX76:BD76"/>
    <mergeCell ref="AG111:AL111"/>
    <mergeCell ref="AT111:AY111"/>
    <mergeCell ref="T13:AC14"/>
    <mergeCell ref="AF13:AF1015"/>
    <mergeCell ref="AS13:AS1015"/>
    <mergeCell ref="BF13:BF1015"/>
    <mergeCell ref="AQ14:AR14"/>
    <mergeCell ref="BD14:BE14"/>
    <mergeCell ref="AT30:BE30"/>
    <mergeCell ref="AD13:AE13"/>
    <mergeCell ref="X46:AD46"/>
    <mergeCell ref="AK46:AQ46"/>
    <mergeCell ref="AX46:BD46"/>
    <mergeCell ref="T48:AE48"/>
    <mergeCell ref="AG48:AR48"/>
    <mergeCell ref="AT48:BE48"/>
    <mergeCell ref="X61:AD61"/>
    <mergeCell ref="AK61:AQ61"/>
    <mergeCell ref="AX61:BD61"/>
    <mergeCell ref="T63:AE63"/>
    <mergeCell ref="AG63:AR63"/>
    <mergeCell ref="T110:Y110"/>
    <mergeCell ref="AG110:AL110"/>
    <mergeCell ref="AT110:AY110"/>
    <mergeCell ref="T111:Y111"/>
  </mergeCells>
  <conditionalFormatting sqref="J17:J26 AL17:AL26 AY17:AY26 J32:J44 Y32:Y44 AL32:AL44 AY32:AY44 J50:J57 Y50:Y57 AL50:AL57 AY50:AY57 J65:J72 Y65:Y72 AL65:AL72 AY65:AY72">
    <cfRule type="cellIs" dxfId="0" priority="1" operator="between">
      <formula>0</formula>
      <formula>5</formula>
    </cfRule>
  </conditionalFormatting>
  <conditionalFormatting sqref="J17:J26 AL17:AL26 AY17:AY26 J32:J44 Y32:Y44 AL32:AL44 AY32:AY44 J50:J57 Y50:Y57 AL50:AL57 AY50:AY57 J65:J72 Y65:Y72 AL65:AL72 AY65:AY72">
    <cfRule type="cellIs" dxfId="1" priority="2" operator="between">
      <formula>6</formula>
      <formula>10</formula>
    </cfRule>
  </conditionalFormatting>
  <conditionalFormatting sqref="J17:J26 AL17:AL26 AY17:AY26 J32:J44 Y32:Y44 AL32:AL44 AY32:AY44 J50:J57 Y50:Y57 AL50:AL57 AY50:AY57 J65:J72 Y65:Y72 AL65:AL72 AY65:AY72">
    <cfRule type="cellIs" dxfId="2" priority="3" operator="between">
      <formula>11</formula>
      <formula>15</formula>
    </cfRule>
  </conditionalFormatting>
  <conditionalFormatting sqref="J17:J26 AL17:AL26 AY17:AY26 J32:J44 Y32:Y44 AL32:AL44 AY32:AY44 J50:J57 Y50:Y57 AL50:AL57 AY50:AY57 J65:J72 Y65:Y72 AL65:AL72 AY65:AY72">
    <cfRule type="cellIs" dxfId="3" priority="4" operator="between">
      <formula>16</formula>
      <formula>20</formula>
    </cfRule>
  </conditionalFormatting>
  <conditionalFormatting sqref="J17:J26 AL17:AL26 AY17:AY26 J32:J44 Y32:Y44 AL32:AL44 AY32:AY44 J50:J57 Y50:Y57 AL50:AL57 AY50:AY57 J65:J72 Y65:Y72 AL65:AL72 AY65:AY72">
    <cfRule type="cellIs" dxfId="4" priority="5" operator="lessThan">
      <formula>0</formula>
    </cfRule>
  </conditionalFormatting>
  <dataValidations>
    <dataValidation type="list" allowBlank="1" showErrorMessage="1" sqref="AI50">
      <formula1>'[Team02]'!$F$7:$F$9</formula1>
    </dataValidation>
    <dataValidation type="list" allowBlank="1" showErrorMessage="1" sqref="G7:G9 J7:J9 M7:M9 P7:P9">
      <formula1>"BackEnd,FrontEnd,QA/Tester,PM/Scrummaster,UX/UI,Devops"</formula1>
    </dataValidation>
    <dataValidation type="list" allowBlank="1" showErrorMessage="1" sqref="U5:AN5">
      <formula1>"Meet ,notMeet"</formula1>
    </dataValidation>
    <dataValidation type="list" allowBlank="1" showErrorMessage="1" sqref="P17:P26 AE17:AE26 AR17:AR26 BE17:BE26 P32:P44 AE32:AE44 AR32:AR44 BE32:BE44 P50:P59 AE50:AE59 AR50:AR59 BE50:BE59 P65:P74 AE65:AE74 AR65:AR74 BE65:BE74">
      <formula1>"ToDO,InProgress,Testing,Done,Complete,Reject,Move"</formula1>
    </dataValidation>
    <dataValidation type="list" allowBlank="1" showErrorMessage="1" sqref="G17:G26 V17:V26 AI17:AI26 AV17:AV26 G32:G44 V32:V44 AI32:AI44 AV32:AV44 G50:G57 V50:V59 AI51:AI59 AV50:AV59 G65:G74 V65:V74 AI65:AI74 AV65:AV74">
      <formula1>'Team22 KINYARK'!$F$7:$F$9</formula1>
    </dataValidation>
    <dataValidation type="list" allowBlank="1" showErrorMessage="1" sqref="K17:O26 Z17:AD26 AM17:AQ26 AZ17:BD26 K32:O44 Z32:AD44 AM32:AQ44 AZ32:BD44 K50:O59 Z50:AD59 AM50:AQ59 AZ50:BD59 K65:O74 Z65:AD74 AM65:AQ74 AZ65:BD74">
      <formula1>"0,2,4,6,8,10,12,14,16,18,20"</formula1>
    </dataValidation>
    <dataValidation type="list" allowBlank="1" showErrorMessage="1" sqref="F17:F26 U17:U26 AH17:AH26 AU17:AU26 F32:F44 U32:U44 AH32:AH44 AU32:AU44 F50:F57 U50:U59 AH51:AH59 AU50:AU59 F65:F74 U65:U74 AH65:AH74 AU65:AU74">
      <formula1>'Team22 KINYARK'!$A$16:$B$109</formula1>
    </dataValidation>
    <dataValidation type="list" allowBlank="1" showErrorMessage="1" sqref="AH50">
      <formula1>'[Team02]'!$A$16:$B$110</formula1>
    </dataValidation>
  </dataValidations>
  <drawing r:id="rId1"/>
</worksheet>
</file>